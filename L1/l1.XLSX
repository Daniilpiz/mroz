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Даниил\OneDrive\Desktop\"/>
    </mc:Choice>
  </mc:AlternateContent>
  <xr:revisionPtr revIDLastSave="0" documentId="13_ncr:1_{3306FE50-9307-4514-AB30-293CD24ADB25}" xr6:coauthVersionLast="47" xr6:coauthVersionMax="47" xr10:uidLastSave="{00000000-0000-0000-0000-000000000000}"/>
  <bookViews>
    <workbookView xWindow="-108" yWindow="-108" windowWidth="23256" windowHeight="13896" firstSheet="2" activeTab="6" xr2:uid="{00000000-000D-0000-FFFF-FFFF00000000}"/>
  </bookViews>
  <sheets>
    <sheet name="Лист1" sheetId="1" r:id="rId1"/>
    <sheet name="Отчет о результатах 1" sheetId="3" r:id="rId2"/>
    <sheet name="Отчет об устойчивости 1" sheetId="4" r:id="rId3"/>
    <sheet name="Отчет о пределах 1" sheetId="5" r:id="rId4"/>
    <sheet name="Диаграмма1" sheetId="6" r:id="rId5"/>
    <sheet name="Диаграмма2" sheetId="7" r:id="rId6"/>
    <sheet name="Лист2" sheetId="2" r:id="rId7"/>
  </sheets>
  <definedNames>
    <definedName name="solver_adj" localSheetId="0" hidden="1">Лист1!$A$3:$B$3</definedName>
    <definedName name="solver_adj" localSheetId="6" hidden="1">Лист2!$A$1:$E$1</definedName>
    <definedName name="solver_cvg" localSheetId="0" hidden="1">0.0001</definedName>
    <definedName name="solver_cvg" localSheetId="6" hidden="1">0.0001</definedName>
    <definedName name="solver_drv" localSheetId="0" hidden="1">1</definedName>
    <definedName name="solver_drv" localSheetId="6" hidden="1">1</definedName>
    <definedName name="solver_eng" localSheetId="0" hidden="1">2</definedName>
    <definedName name="solver_eng" localSheetId="6" hidden="1">2</definedName>
    <definedName name="solver_est" localSheetId="0" hidden="1">1</definedName>
    <definedName name="solver_est" localSheetId="6" hidden="1">1</definedName>
    <definedName name="solver_itr" localSheetId="0" hidden="1">100</definedName>
    <definedName name="solver_itr" localSheetId="6" hidden="1">2147483647</definedName>
    <definedName name="solver_lhs1" localSheetId="0" hidden="1">Лист1!$A$7:$A$9</definedName>
    <definedName name="solver_lhs1" localSheetId="6" hidden="1">Лист2!$A$1:$E$1</definedName>
    <definedName name="solver_lhs2" localSheetId="6" hidden="1">Лист2!$A$4:$A$7</definedName>
    <definedName name="solver_mip" localSheetId="0" hidden="1">2147483647</definedName>
    <definedName name="solver_mip" localSheetId="6" hidden="1">2147483647</definedName>
    <definedName name="solver_mni" localSheetId="0" hidden="1">30</definedName>
    <definedName name="solver_mni" localSheetId="6" hidden="1">30</definedName>
    <definedName name="solver_mrt" localSheetId="0" hidden="1">0.075</definedName>
    <definedName name="solver_mrt" localSheetId="6" hidden="1">0.075</definedName>
    <definedName name="solver_msl" localSheetId="0" hidden="1">2</definedName>
    <definedName name="solver_msl" localSheetId="6" hidden="1">2</definedName>
    <definedName name="solver_neg" localSheetId="0" hidden="1">1</definedName>
    <definedName name="solver_neg" localSheetId="6" hidden="1">1</definedName>
    <definedName name="solver_nod" localSheetId="0" hidden="1">2147483647</definedName>
    <definedName name="solver_nod" localSheetId="6" hidden="1">2147483647</definedName>
    <definedName name="solver_num" localSheetId="0" hidden="1">1</definedName>
    <definedName name="solver_num" localSheetId="6" hidden="1">2</definedName>
    <definedName name="solver_nwt" localSheetId="0" hidden="1">1</definedName>
    <definedName name="solver_nwt" localSheetId="6" hidden="1">1</definedName>
    <definedName name="solver_opt" localSheetId="0" hidden="1">Лист1!$C$4</definedName>
    <definedName name="solver_opt" localSheetId="6" hidden="1">Лист2!$C$2</definedName>
    <definedName name="solver_pre" localSheetId="0" hidden="1">0.000001</definedName>
    <definedName name="solver_pre" localSheetId="6" hidden="1">0.000001</definedName>
    <definedName name="solver_rbv" localSheetId="0" hidden="1">1</definedName>
    <definedName name="solver_rbv" localSheetId="6" hidden="1">1</definedName>
    <definedName name="solver_rel1" localSheetId="0" hidden="1">1</definedName>
    <definedName name="solver_rel1" localSheetId="6" hidden="1">4</definedName>
    <definedName name="solver_rel2" localSheetId="6" hidden="1">1</definedName>
    <definedName name="solver_rhs1" localSheetId="0" hidden="1">Лист1!$B$7:$B$9</definedName>
    <definedName name="solver_rhs1" localSheetId="6" hidden="1">"целое"</definedName>
    <definedName name="solver_rhs2" localSheetId="6" hidden="1">Лист2!$B$4:$B$7</definedName>
    <definedName name="solver_rlx" localSheetId="0" hidden="1">2</definedName>
    <definedName name="solver_rlx" localSheetId="6" hidden="1">2</definedName>
    <definedName name="solver_rsd" localSheetId="0" hidden="1">0</definedName>
    <definedName name="solver_rsd" localSheetId="6" hidden="1">0</definedName>
    <definedName name="solver_scl" localSheetId="0" hidden="1">1</definedName>
    <definedName name="solver_scl" localSheetId="6" hidden="1">1</definedName>
    <definedName name="solver_sho" localSheetId="0" hidden="1">2</definedName>
    <definedName name="solver_sho" localSheetId="6" hidden="1">2</definedName>
    <definedName name="solver_sho" localSheetId="3" hidden="1">2</definedName>
    <definedName name="solver_ssz" localSheetId="0" hidden="1">100</definedName>
    <definedName name="solver_ssz" localSheetId="6" hidden="1">100</definedName>
    <definedName name="solver_tim" localSheetId="0" hidden="1">100</definedName>
    <definedName name="solver_tim" localSheetId="6" hidden="1">2147483647</definedName>
    <definedName name="solver_tol" localSheetId="0" hidden="1">0.01</definedName>
    <definedName name="solver_tol" localSheetId="6" hidden="1">0.01</definedName>
    <definedName name="solver_typ" localSheetId="0" hidden="1">1</definedName>
    <definedName name="solver_typ" localSheetId="6" hidden="1">1</definedName>
    <definedName name="solver_val" localSheetId="0" hidden="1">0</definedName>
    <definedName name="solver_val" localSheetId="6" hidden="1">0</definedName>
    <definedName name="solver_ver" localSheetId="0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A7" i="2"/>
  <c r="A6" i="2"/>
  <c r="A5" i="2"/>
  <c r="A4" i="2"/>
  <c r="A9" i="1"/>
  <c r="A8" i="1"/>
  <c r="A7" i="1"/>
  <c r="C4" i="1"/>
</calcChain>
</file>

<file path=xl/sharedStrings.xml><?xml version="1.0" encoding="utf-8"?>
<sst xmlns="http://schemas.openxmlformats.org/spreadsheetml/2006/main" count="130" uniqueCount="64">
  <si>
    <t>Переменные</t>
  </si>
  <si>
    <t>x1</t>
  </si>
  <si>
    <t>x2</t>
  </si>
  <si>
    <t>Функ. Цели</t>
  </si>
  <si>
    <t>Функц. Цели</t>
  </si>
  <si>
    <t>Microsoft Excel 16.0 Отчет о результатах</t>
  </si>
  <si>
    <t>Лист: [l1.XLSX]Лист2</t>
  </si>
  <si>
    <t>Отчет создан: 03.09.2026 10:54:19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</si>
  <si>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</si>
  <si>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</si>
  <si>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</si>
  <si>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0,015 секунд.</t>
  </si>
  <si>
    <t>Число итераций: 5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</si>
  <si>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</si>
  <si>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</si>
  <si>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</si>
  <si>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</si>
  <si>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</si>
  <si>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</si>
  <si>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</si>
  <si>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</si>
  <si>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</si>
  <si>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</si>
  <si>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</si>
  <si>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</si>
  <si>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</si>
  <si>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</si>
  <si>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</si>
  <si>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$C$2</t>
  </si>
  <si>
    <t>$A$1</t>
  </si>
  <si>
    <t>Продолжить</t>
  </si>
  <si>
    <t>$B$1</t>
  </si>
  <si>
    <t>$C$1</t>
  </si>
  <si>
    <t>$D$1</t>
  </si>
  <si>
    <t>$E$1</t>
  </si>
  <si>
    <t>$A$4</t>
  </si>
  <si>
    <t>$A$4&lt;=$B$4</t>
  </si>
  <si>
    <t>Привязка</t>
  </si>
  <si>
    <t>$A$5</t>
  </si>
  <si>
    <t>$A$5&lt;=$B$5</t>
  </si>
  <si>
    <t>$A$6</t>
  </si>
  <si>
    <t>$A$6&lt;=$B$6</t>
  </si>
  <si>
    <t>$A$7</t>
  </si>
  <si>
    <t>$A$7&lt;=$B$7</t>
  </si>
  <si>
    <t>Microsoft Excel 16.0 Отчет об устойчивости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</si>
  <si>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</si>
  <si>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</si>
  <si>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</si>
  <si>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</si>
  <si>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</si>
  <si>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</si>
  <si>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</si>
  <si>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</si>
  <si>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</si>
  <si>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</si>
  <si>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</si>
  <si>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</si>
  <si>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</si>
  <si>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Microsoft Excel 16.0 Отчет о пределах</t>
  </si>
  <si>
    <t>Переменная</t>
  </si>
  <si>
    <t>Нижний</t>
  </si>
  <si>
    <t>Предел</t>
  </si>
  <si>
    <t>Результат</t>
  </si>
  <si>
    <t>Верхний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</si>
</sst>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ED9-9E99-ED912E7FA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5944447"/>
        <c:axId val="2090747407"/>
      </c:barChart>
      <c:catAx>
        <c:axId val="213594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0747407"/>
        <c:crosses val="autoZero"/>
        <c:auto val="1"/>
        <c:lblAlgn val="ctr"/>
        <c:lblOffset val="100"/>
        <c:noMultiLvlLbl val="0"/>
      </c:catAx>
      <c:valAx>
        <c:axId val="20907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594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Лист2!$E$1</c:f>
              <c:numCache>
                <c:formatCode>General</c:formatCode>
                <c:ptCount val="1"/>
                <c:pt idx="0">
                  <c:v>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A-40CE-9718-C9839168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717199"/>
        <c:axId val="2004227439"/>
      </c:barChart>
      <c:catAx>
        <c:axId val="47771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4227439"/>
        <c:crosses val="autoZero"/>
        <c:auto val="1"/>
        <c:lblAlgn val="ctr"/>
        <c:lblOffset val="100"/>
        <c:noMultiLvlLbl val="0"/>
      </c:catAx>
      <c:valAx>
        <c:axId val="200422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771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CBFB0E-1F3D-42ED-9455-C8EF9D0AE835}">
  <sheetPr/>
  <sheetViews>
    <sheetView zoomScale="9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207985-A2D4-48ED-A0B1-C1B92C77B18B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14</xdr:col>
      <xdr:colOff>297180</xdr:colOff>
      <xdr:row>14</xdr:row>
      <xdr:rowOff>68580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FCB59C9-DAEB-A6C2-724C-65FAC9FA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7380" y="914400"/>
          <a:ext cx="334518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51758" cy="604981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11619B-5DFF-C85E-23FD-4338178EC8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51758" cy="604981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DCDD6A-8FF0-A6A6-BEED-7D4492E29E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7" sqref="B7"/>
    </sheetView>
  </sheetViews>
  <sheetFormatPr defaultRowHeight="14.4" x14ac:dyDescent="0.3"/>
  <cols>
    <col min="1" max="1" width="12.109375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</row>
    <row r="3" spans="1:3" x14ac:dyDescent="0.3">
      <c r="A3">
        <v>101.99999999999997</v>
      </c>
      <c r="B3">
        <v>166</v>
      </c>
    </row>
    <row r="4" spans="1:3" x14ac:dyDescent="0.3">
      <c r="A4" t="s">
        <v>3</v>
      </c>
      <c r="C4">
        <f>6*A3+8*B3</f>
        <v>1939.9999999999998</v>
      </c>
    </row>
    <row r="7" spans="1:3" x14ac:dyDescent="0.3">
      <c r="A7">
        <f>0.2*A3+0.1*B3</f>
        <v>37</v>
      </c>
      <c r="B7">
        <v>40</v>
      </c>
    </row>
    <row r="8" spans="1:3" x14ac:dyDescent="0.3">
      <c r="A8">
        <f>0.1*A3+0.3*B3</f>
        <v>59.999999999999993</v>
      </c>
      <c r="B8">
        <v>60</v>
      </c>
    </row>
    <row r="9" spans="1:3" x14ac:dyDescent="0.3">
      <c r="A9">
        <f>1.2*A3+1.5*B3</f>
        <v>371.4</v>
      </c>
      <c r="B9">
        <v>371.4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4E9E-D20D-468C-BEED-9A769D474AAF}">
  <dimension ref="A1:G33"/>
  <sheetViews>
    <sheetView showGridLines="0" workbookViewId="0"/>
  </sheetViews>
  <sheetFormatPr defaultRowHeight="14.4" x14ac:dyDescent="0.3"/>
  <cols>
    <col min="1" max="1" width="2.33203125" customWidth="1"/>
    <col min="2" max="2" width="7.21875" bestFit="1" customWidth="1"/>
    <col min="3" max="3" width="11.8867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1" t="s">
        <v>5</v>
      </c>
    </row>
    <row r="2" spans="1:5" x14ac:dyDescent="0.3">
      <c r="A2" s="1" t="s">
        <v>6</v>
      </c>
    </row>
    <row r="3" spans="1:5" x14ac:dyDescent="0.3">
      <c r="A3" s="1" t="s">
        <v>7</v>
      </c>
    </row>
    <row r="4" spans="1:5" x14ac:dyDescent="0.3">
      <c r="A4" s="1" t="s">
        <v>8</v>
      </c>
    </row>
    <row r="5" spans="1:5" x14ac:dyDescent="0.3">
      <c r="A5" s="1" t="s">
        <v>9</v>
      </c>
    </row>
    <row r="6" spans="1:5" x14ac:dyDescent="0.3">
      <c r="A6" s="1"/>
      <c r="B6" t="s">
        <v>10</v>
      </c>
    </row>
    <row r="7" spans="1:5" x14ac:dyDescent="0.3">
      <c r="A7" s="1"/>
      <c r="B7" t="s">
        <v>11</v>
      </c>
    </row>
    <row r="8" spans="1:5" x14ac:dyDescent="0.3">
      <c r="A8" s="1"/>
      <c r="B8" t="s">
        <v>12</v>
      </c>
    </row>
    <row r="9" spans="1:5" x14ac:dyDescent="0.3">
      <c r="A9" s="1" t="s">
        <v>13</v>
      </c>
    </row>
    <row r="10" spans="1:5" x14ac:dyDescent="0.3">
      <c r="B10" t="s">
        <v>14</v>
      </c>
    </row>
    <row r="11" spans="1:5" x14ac:dyDescent="0.3">
      <c r="B11" t="s">
        <v>15</v>
      </c>
    </row>
    <row r="14" spans="1:5" ht="15" thickBot="1" x14ac:dyDescent="0.35">
      <c r="A14" t="s">
        <v>16</v>
      </c>
    </row>
    <row r="15" spans="1:5" ht="15" thickBot="1" x14ac:dyDescent="0.35">
      <c r="B15" s="3" t="s">
        <v>17</v>
      </c>
      <c r="C15" s="3" t="s">
        <v>18</v>
      </c>
      <c r="D15" s="3" t="s">
        <v>19</v>
      </c>
      <c r="E15" s="3" t="s">
        <v>20</v>
      </c>
    </row>
    <row r="16" spans="1:5" ht="15" thickBot="1" x14ac:dyDescent="0.35">
      <c r="B16" s="2" t="s">
        <v>28</v>
      </c>
      <c r="C16" s="2" t="s">
        <v>4</v>
      </c>
      <c r="D16" s="5">
        <v>265690.14084507042</v>
      </c>
      <c r="E16" s="5">
        <v>265690.14084507042</v>
      </c>
    </row>
    <row r="19" spans="1:7" ht="15" thickBot="1" x14ac:dyDescent="0.35">
      <c r="A19" t="s">
        <v>21</v>
      </c>
    </row>
    <row r="20" spans="1:7" ht="15" thickBot="1" x14ac:dyDescent="0.35"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22</v>
      </c>
    </row>
    <row r="21" spans="1:7" x14ac:dyDescent="0.3">
      <c r="B21" s="4" t="s">
        <v>29</v>
      </c>
      <c r="C21" s="4"/>
      <c r="D21" s="6">
        <v>915.49295774647737</v>
      </c>
      <c r="E21" s="6">
        <v>915.49295774647737</v>
      </c>
      <c r="F21" s="4" t="s">
        <v>30</v>
      </c>
    </row>
    <row r="22" spans="1:7" x14ac:dyDescent="0.3">
      <c r="B22" s="4" t="s">
        <v>31</v>
      </c>
      <c r="C22" s="4"/>
      <c r="D22" s="6">
        <v>0</v>
      </c>
      <c r="E22" s="6">
        <v>0</v>
      </c>
      <c r="F22" s="4" t="s">
        <v>30</v>
      </c>
    </row>
    <row r="23" spans="1:7" x14ac:dyDescent="0.3">
      <c r="B23" s="4" t="s">
        <v>32</v>
      </c>
      <c r="C23" s="4"/>
      <c r="D23" s="6">
        <v>1183.0985915492975</v>
      </c>
      <c r="E23" s="6">
        <v>1183.0985915492975</v>
      </c>
      <c r="F23" s="4" t="s">
        <v>30</v>
      </c>
    </row>
    <row r="24" spans="1:7" x14ac:dyDescent="0.3">
      <c r="B24" s="4" t="s">
        <v>33</v>
      </c>
      <c r="C24" s="4"/>
      <c r="D24" s="6">
        <v>2619.7183098591531</v>
      </c>
      <c r="E24" s="6">
        <v>2619.7183098591531</v>
      </c>
      <c r="F24" s="4" t="s">
        <v>30</v>
      </c>
    </row>
    <row r="25" spans="1:7" ht="15" thickBot="1" x14ac:dyDescent="0.35">
      <c r="B25" s="2" t="s">
        <v>34</v>
      </c>
      <c r="C25" s="2"/>
      <c r="D25" s="5">
        <v>985.91549295774803</v>
      </c>
      <c r="E25" s="5">
        <v>985.91549295774803</v>
      </c>
      <c r="F25" s="2" t="s">
        <v>30</v>
      </c>
    </row>
    <row r="28" spans="1:7" ht="15" thickBot="1" x14ac:dyDescent="0.35">
      <c r="A28" t="s">
        <v>23</v>
      </c>
    </row>
    <row r="29" spans="1:7" ht="15" thickBot="1" x14ac:dyDescent="0.35">
      <c r="B29" s="3" t="s">
        <v>17</v>
      </c>
      <c r="C29" s="3" t="s">
        <v>18</v>
      </c>
      <c r="D29" s="3" t="s">
        <v>24</v>
      </c>
      <c r="E29" s="3" t="s">
        <v>25</v>
      </c>
      <c r="F29" s="3" t="s">
        <v>26</v>
      </c>
      <c r="G29" s="3" t="s">
        <v>27</v>
      </c>
    </row>
    <row r="30" spans="1:7" x14ac:dyDescent="0.3">
      <c r="B30" s="4" t="s">
        <v>35</v>
      </c>
      <c r="C30" s="4" t="s">
        <v>4</v>
      </c>
      <c r="D30" s="6">
        <v>35000</v>
      </c>
      <c r="E30" s="4" t="s">
        <v>36</v>
      </c>
      <c r="F30" s="4" t="s">
        <v>37</v>
      </c>
      <c r="G30" s="4">
        <v>0</v>
      </c>
    </row>
    <row r="31" spans="1:7" x14ac:dyDescent="0.3">
      <c r="B31" s="4" t="s">
        <v>38</v>
      </c>
      <c r="C31" s="4" t="s">
        <v>4</v>
      </c>
      <c r="D31" s="6">
        <v>6000.0000000000009</v>
      </c>
      <c r="E31" s="4" t="s">
        <v>39</v>
      </c>
      <c r="F31" s="4" t="s">
        <v>37</v>
      </c>
      <c r="G31" s="4">
        <v>0</v>
      </c>
    </row>
    <row r="32" spans="1:7" x14ac:dyDescent="0.3">
      <c r="B32" s="4" t="s">
        <v>40</v>
      </c>
      <c r="C32" s="4" t="s">
        <v>4</v>
      </c>
      <c r="D32" s="6">
        <v>30000.000000000004</v>
      </c>
      <c r="E32" s="4" t="s">
        <v>41</v>
      </c>
      <c r="F32" s="4" t="s">
        <v>37</v>
      </c>
      <c r="G32" s="4">
        <v>0</v>
      </c>
    </row>
    <row r="33" spans="2:7" ht="15" thickBot="1" x14ac:dyDescent="0.35">
      <c r="B33" s="2" t="s">
        <v>42</v>
      </c>
      <c r="C33" s="2" t="s">
        <v>4</v>
      </c>
      <c r="D33" s="5">
        <v>4000</v>
      </c>
      <c r="E33" s="2" t="s">
        <v>43</v>
      </c>
      <c r="F33" s="2" t="s">
        <v>37</v>
      </c>
      <c r="G3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795B-7AAD-4596-AA9C-5DE37D53B459}">
  <dimension ref="A1:H21"/>
  <sheetViews>
    <sheetView showGridLines="0" workbookViewId="0"/>
  </sheetViews>
  <sheetFormatPr defaultRowHeight="14.4" x14ac:dyDescent="0.3"/>
  <cols>
    <col min="1" max="1" width="2.33203125" customWidth="1"/>
    <col min="2" max="2" width="7.21875" bestFit="1" customWidth="1"/>
    <col min="3" max="3" width="11.88671875" bestFit="1" customWidth="1"/>
    <col min="4" max="4" width="14.6640625" bestFit="1" customWidth="1"/>
    <col min="5" max="5" width="12.6640625" bestFit="1" customWidth="1"/>
    <col min="6" max="6" width="16.5546875" bestFit="1" customWidth="1"/>
    <col min="7" max="7" width="12" bestFit="1" customWidth="1"/>
    <col min="8" max="8" width="12.44140625" bestFit="1" customWidth="1"/>
  </cols>
  <sheetData>
    <row r="1" spans="1:8" x14ac:dyDescent="0.3">
      <c r="A1" s="1" t="s">
        <v>44</v>
      </c>
    </row>
    <row r="2" spans="1:8" x14ac:dyDescent="0.3">
      <c r="A2" s="1" t="s">
        <v>6</v>
      </c>
    </row>
    <row r="3" spans="1:8" x14ac:dyDescent="0.3">
      <c r="A3" s="1" t="s">
        <v>7</v>
      </c>
    </row>
    <row r="6" spans="1:8" ht="15" thickBot="1" x14ac:dyDescent="0.35">
      <c r="A6" t="s">
        <v>21</v>
      </c>
    </row>
    <row r="7" spans="1:8" x14ac:dyDescent="0.3">
      <c r="B7" s="7"/>
      <c r="C7" s="7"/>
      <c r="D7" s="7" t="s">
        <v>45</v>
      </c>
      <c r="E7" s="7" t="s">
        <v>47</v>
      </c>
      <c r="F7" s="7" t="s">
        <v>49</v>
      </c>
      <c r="G7" s="7" t="s">
        <v>51</v>
      </c>
      <c r="H7" s="7" t="s">
        <v>51</v>
      </c>
    </row>
    <row r="8" spans="1:8" ht="15" thickBot="1" x14ac:dyDescent="0.35">
      <c r="B8" s="8" t="s">
        <v>17</v>
      </c>
      <c r="C8" s="8" t="s">
        <v>18</v>
      </c>
      <c r="D8" s="8" t="s">
        <v>46</v>
      </c>
      <c r="E8" s="8" t="s">
        <v>48</v>
      </c>
      <c r="F8" s="8" t="s">
        <v>50</v>
      </c>
      <c r="G8" s="8" t="s">
        <v>52</v>
      </c>
      <c r="H8" s="8" t="s">
        <v>53</v>
      </c>
    </row>
    <row r="9" spans="1:8" x14ac:dyDescent="0.3">
      <c r="B9" s="4" t="s">
        <v>29</v>
      </c>
      <c r="C9" s="4"/>
      <c r="D9" s="4">
        <v>915.49295774647737</v>
      </c>
      <c r="E9" s="4">
        <v>0</v>
      </c>
      <c r="F9" s="4">
        <v>40</v>
      </c>
      <c r="G9" s="4">
        <v>0.54794520547947023</v>
      </c>
      <c r="H9" s="4">
        <v>0.99130434782607812</v>
      </c>
    </row>
    <row r="10" spans="1:8" x14ac:dyDescent="0.3">
      <c r="B10" s="4" t="s">
        <v>31</v>
      </c>
      <c r="C10" s="4"/>
      <c r="D10" s="4">
        <v>0</v>
      </c>
      <c r="E10" s="4">
        <v>-1.6056338028168844</v>
      </c>
      <c r="F10" s="4">
        <v>42</v>
      </c>
      <c r="G10" s="4">
        <v>1.6056338028168844</v>
      </c>
      <c r="H10" s="4">
        <v>1E+30</v>
      </c>
    </row>
    <row r="11" spans="1:8" x14ac:dyDescent="0.3">
      <c r="B11" s="4" t="s">
        <v>32</v>
      </c>
      <c r="C11" s="4"/>
      <c r="D11" s="4">
        <v>1183.0985915492975</v>
      </c>
      <c r="E11" s="4">
        <v>0</v>
      </c>
      <c r="F11" s="4">
        <v>44</v>
      </c>
      <c r="G11" s="4">
        <v>0.95798319327730264</v>
      </c>
      <c r="H11" s="4">
        <v>0.23529411764706634</v>
      </c>
    </row>
    <row r="12" spans="1:8" x14ac:dyDescent="0.3">
      <c r="B12" s="4" t="s">
        <v>33</v>
      </c>
      <c r="C12" s="4"/>
      <c r="D12" s="4">
        <v>2619.7183098591531</v>
      </c>
      <c r="E12" s="4">
        <v>0</v>
      </c>
      <c r="F12" s="4">
        <v>48</v>
      </c>
      <c r="G12" s="4">
        <v>0.18018018018018589</v>
      </c>
      <c r="H12" s="4">
        <v>0.57575757575757047</v>
      </c>
    </row>
    <row r="13" spans="1:8" ht="15" thickBot="1" x14ac:dyDescent="0.35">
      <c r="B13" s="2" t="s">
        <v>34</v>
      </c>
      <c r="C13" s="2"/>
      <c r="D13" s="2">
        <v>985.91549295774803</v>
      </c>
      <c r="E13" s="2">
        <v>0</v>
      </c>
      <c r="F13" s="2">
        <v>52</v>
      </c>
      <c r="G13" s="2">
        <v>1.0270270270270179</v>
      </c>
      <c r="H13" s="2">
        <v>0.33898305084746849</v>
      </c>
    </row>
    <row r="15" spans="1:8" ht="15" thickBot="1" x14ac:dyDescent="0.35">
      <c r="A15" t="s">
        <v>23</v>
      </c>
    </row>
    <row r="16" spans="1:8" x14ac:dyDescent="0.3">
      <c r="B16" s="7"/>
      <c r="C16" s="7"/>
      <c r="D16" s="7" t="s">
        <v>45</v>
      </c>
      <c r="E16" s="7" t="s">
        <v>54</v>
      </c>
      <c r="F16" s="7" t="s">
        <v>56</v>
      </c>
      <c r="G16" s="7" t="s">
        <v>51</v>
      </c>
      <c r="H16" s="7" t="s">
        <v>51</v>
      </c>
    </row>
    <row r="17" spans="2:8" ht="15" thickBot="1" x14ac:dyDescent="0.35">
      <c r="B17" s="8" t="s">
        <v>17</v>
      </c>
      <c r="C17" s="8" t="s">
        <v>18</v>
      </c>
      <c r="D17" s="8" t="s">
        <v>46</v>
      </c>
      <c r="E17" s="8" t="s">
        <v>55</v>
      </c>
      <c r="F17" s="8" t="s">
        <v>57</v>
      </c>
      <c r="G17" s="8" t="s">
        <v>52</v>
      </c>
      <c r="H17" s="8" t="s">
        <v>53</v>
      </c>
    </row>
    <row r="18" spans="2:8" x14ac:dyDescent="0.3">
      <c r="B18" s="4" t="s">
        <v>35</v>
      </c>
      <c r="C18" s="4" t="s">
        <v>4</v>
      </c>
      <c r="D18" s="4">
        <v>35000</v>
      </c>
      <c r="E18" s="4">
        <v>4.5070422535211216</v>
      </c>
      <c r="F18" s="4">
        <v>35000</v>
      </c>
      <c r="G18" s="4">
        <v>1400.0000000000039</v>
      </c>
      <c r="H18" s="4">
        <v>1181.8181818181813</v>
      </c>
    </row>
    <row r="19" spans="2:8" x14ac:dyDescent="0.3">
      <c r="B19" s="4" t="s">
        <v>38</v>
      </c>
      <c r="C19" s="4" t="s">
        <v>4</v>
      </c>
      <c r="D19" s="4">
        <v>6000.0000000000009</v>
      </c>
      <c r="E19" s="4">
        <v>1.1267605633803162</v>
      </c>
      <c r="F19" s="4">
        <v>6000</v>
      </c>
      <c r="G19" s="4">
        <v>418.91891891891908</v>
      </c>
      <c r="H19" s="4">
        <v>247.05882352941245</v>
      </c>
    </row>
    <row r="20" spans="2:8" x14ac:dyDescent="0.3">
      <c r="B20" s="4" t="s">
        <v>40</v>
      </c>
      <c r="C20" s="4" t="s">
        <v>4</v>
      </c>
      <c r="D20" s="4">
        <v>30000.000000000004</v>
      </c>
      <c r="E20" s="4">
        <v>1.0892018779342676</v>
      </c>
      <c r="F20" s="4">
        <v>30000</v>
      </c>
      <c r="G20" s="4">
        <v>3888.8888888889055</v>
      </c>
      <c r="H20" s="4">
        <v>5365.3846153846225</v>
      </c>
    </row>
    <row r="21" spans="2:8" ht="15" thickBot="1" x14ac:dyDescent="0.35">
      <c r="B21" s="2" t="s">
        <v>42</v>
      </c>
      <c r="C21" s="2" t="s">
        <v>4</v>
      </c>
      <c r="D21" s="2">
        <v>4000</v>
      </c>
      <c r="E21" s="2">
        <v>17.126760563380309</v>
      </c>
      <c r="F21" s="2">
        <v>4000</v>
      </c>
      <c r="G21" s="2">
        <v>445.20547945205516</v>
      </c>
      <c r="H21" s="2">
        <v>296.61016949152628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9AA4-277C-4B7C-9B1A-4B457B3DE9E5}">
  <dimension ref="A1:J17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7.21875" bestFit="1" customWidth="1"/>
    <col min="3" max="3" width="12" bestFit="1" customWidth="1"/>
    <col min="4" max="4" width="9.33203125" bestFit="1" customWidth="1"/>
    <col min="5" max="5" width="2.33203125" customWidth="1"/>
    <col min="6" max="6" width="8.109375" bestFit="1" customWidth="1"/>
    <col min="7" max="7" width="16.5546875" bestFit="1" customWidth="1"/>
    <col min="8" max="8" width="2.33203125" customWidth="1"/>
    <col min="9" max="9" width="8.44140625" bestFit="1" customWidth="1"/>
    <col min="10" max="10" width="16.5546875" bestFit="1" customWidth="1"/>
  </cols>
  <sheetData>
    <row r="1" spans="1:10" x14ac:dyDescent="0.3">
      <c r="A1" s="1" t="s">
        <v>58</v>
      </c>
    </row>
    <row r="2" spans="1:10" x14ac:dyDescent="0.3">
      <c r="A2" s="1" t="s">
        <v>6</v>
      </c>
    </row>
    <row r="3" spans="1:10" x14ac:dyDescent="0.3">
      <c r="A3" s="1" t="s">
        <v>7</v>
      </c>
    </row>
    <row r="5" spans="1:10" ht="15" thickBot="1" x14ac:dyDescent="0.35"/>
    <row r="6" spans="1:10" x14ac:dyDescent="0.3">
      <c r="B6" s="7"/>
      <c r="C6" s="7" t="s">
        <v>49</v>
      </c>
      <c r="D6" s="7"/>
    </row>
    <row r="7" spans="1:10" ht="15" thickBot="1" x14ac:dyDescent="0.35">
      <c r="B7" s="8" t="s">
        <v>17</v>
      </c>
      <c r="C7" s="8" t="s">
        <v>18</v>
      </c>
      <c r="D7" s="8" t="s">
        <v>46</v>
      </c>
    </row>
    <row r="8" spans="1:10" ht="15" thickBot="1" x14ac:dyDescent="0.35">
      <c r="B8" s="2" t="s">
        <v>28</v>
      </c>
      <c r="C8" s="2" t="s">
        <v>4</v>
      </c>
      <c r="D8" s="5">
        <v>265690.14084507042</v>
      </c>
    </row>
    <row r="10" spans="1:10" ht="15" thickBot="1" x14ac:dyDescent="0.35"/>
    <row r="11" spans="1:10" x14ac:dyDescent="0.3">
      <c r="B11" s="7"/>
      <c r="C11" s="7" t="s">
        <v>59</v>
      </c>
      <c r="D11" s="7"/>
      <c r="F11" s="7" t="s">
        <v>60</v>
      </c>
      <c r="G11" s="7" t="s">
        <v>49</v>
      </c>
      <c r="I11" s="7" t="s">
        <v>63</v>
      </c>
      <c r="J11" s="7" t="s">
        <v>49</v>
      </c>
    </row>
    <row r="12" spans="1:10" ht="15" thickBot="1" x14ac:dyDescent="0.35">
      <c r="B12" s="8" t="s">
        <v>17</v>
      </c>
      <c r="C12" s="8" t="s">
        <v>18</v>
      </c>
      <c r="D12" s="8" t="s">
        <v>46</v>
      </c>
      <c r="F12" s="8" t="s">
        <v>61</v>
      </c>
      <c r="G12" s="8" t="s">
        <v>62</v>
      </c>
      <c r="I12" s="8" t="s">
        <v>61</v>
      </c>
      <c r="J12" s="8" t="s">
        <v>62</v>
      </c>
    </row>
    <row r="13" spans="1:10" x14ac:dyDescent="0.3">
      <c r="B13" s="4" t="s">
        <v>29</v>
      </c>
      <c r="C13" s="4"/>
      <c r="D13" s="6">
        <v>915.49295774647737</v>
      </c>
      <c r="F13" s="6">
        <v>0</v>
      </c>
      <c r="G13" s="6">
        <v>229070.42253521131</v>
      </c>
      <c r="I13" s="6">
        <v>915.49295774647658</v>
      </c>
      <c r="J13" s="6">
        <v>265690.14084507042</v>
      </c>
    </row>
    <row r="14" spans="1:10" x14ac:dyDescent="0.3">
      <c r="B14" s="4" t="s">
        <v>31</v>
      </c>
      <c r="C14" s="4"/>
      <c r="D14" s="6">
        <v>0</v>
      </c>
      <c r="F14" s="6">
        <v>0</v>
      </c>
      <c r="G14" s="6">
        <v>265690.14084507042</v>
      </c>
      <c r="I14" s="6">
        <v>0</v>
      </c>
      <c r="J14" s="6">
        <v>265690.14084507042</v>
      </c>
    </row>
    <row r="15" spans="1:10" x14ac:dyDescent="0.3">
      <c r="B15" s="4" t="s">
        <v>32</v>
      </c>
      <c r="C15" s="4"/>
      <c r="D15" s="6">
        <v>1183.0985915492975</v>
      </c>
      <c r="F15" s="6">
        <v>0</v>
      </c>
      <c r="G15" s="6">
        <v>213633.80281690136</v>
      </c>
      <c r="I15" s="6">
        <v>1183.0985915488741</v>
      </c>
      <c r="J15" s="6">
        <v>265690.14084505179</v>
      </c>
    </row>
    <row r="16" spans="1:10" x14ac:dyDescent="0.3">
      <c r="B16" s="4" t="s">
        <v>33</v>
      </c>
      <c r="C16" s="4"/>
      <c r="D16" s="6">
        <v>2619.7183098591531</v>
      </c>
      <c r="F16" s="6">
        <v>0</v>
      </c>
      <c r="G16" s="6">
        <v>139943.66197183111</v>
      </c>
      <c r="I16" s="6">
        <v>2619.7183098591527</v>
      </c>
      <c r="J16" s="6">
        <v>265690.14084507042</v>
      </c>
    </row>
    <row r="17" spans="2:10" ht="15" thickBot="1" x14ac:dyDescent="0.35">
      <c r="B17" s="2" t="s">
        <v>34</v>
      </c>
      <c r="C17" s="2"/>
      <c r="D17" s="5">
        <v>985.91549295774803</v>
      </c>
      <c r="F17" s="5">
        <v>0</v>
      </c>
      <c r="G17" s="5">
        <v>214422.53521126753</v>
      </c>
      <c r="I17" s="5">
        <v>985.91549295752407</v>
      </c>
      <c r="J17" s="5">
        <v>265690.14084505878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3B89-B614-49A8-A2C5-A327D219EACF}">
  <dimension ref="A1:E7"/>
  <sheetViews>
    <sheetView tabSelected="1" workbookViewId="0">
      <selection activeCell="C2" sqref="C2"/>
    </sheetView>
  </sheetViews>
  <sheetFormatPr defaultRowHeight="14.4" x14ac:dyDescent="0.3"/>
  <cols>
    <col min="1" max="1" width="34.5546875" bestFit="1" customWidth="1"/>
    <col min="2" max="2" width="6" bestFit="1" customWidth="1"/>
    <col min="3" max="3" width="32.88671875" bestFit="1" customWidth="1"/>
    <col min="4" max="4" width="11" bestFit="1" customWidth="1"/>
  </cols>
  <sheetData>
    <row r="1" spans="1:5" x14ac:dyDescent="0.3">
      <c r="A1">
        <v>916</v>
      </c>
      <c r="B1">
        <v>1</v>
      </c>
      <c r="C1">
        <v>1179</v>
      </c>
      <c r="D1">
        <v>2624</v>
      </c>
      <c r="E1">
        <v>984</v>
      </c>
    </row>
    <row r="2" spans="1:5" x14ac:dyDescent="0.3">
      <c r="A2" t="s">
        <v>4</v>
      </c>
      <c r="C2">
        <f>40*A1+42*B1+44*C1+48*D1+52*E1</f>
        <v>265678</v>
      </c>
    </row>
    <row r="4" spans="1:5" x14ac:dyDescent="0.3">
      <c r="A4">
        <f>6*A1+6.5*B1+6.1*C1+6.1*D1+6.4*E1</f>
        <v>34998.400000000001</v>
      </c>
      <c r="B4">
        <v>35000</v>
      </c>
    </row>
    <row r="5" spans="1:5" x14ac:dyDescent="0.3">
      <c r="A5">
        <f>1*A1+0.75*B1+1.25*C1+1*D1+1*E1</f>
        <v>5998.5</v>
      </c>
      <c r="B5">
        <v>6000</v>
      </c>
    </row>
    <row r="6" spans="1:5" x14ac:dyDescent="0.3">
      <c r="A6">
        <f>3*A1+4.5*B1+6*C1+6*D1+4.5*E1</f>
        <v>29998.5</v>
      </c>
      <c r="B6">
        <v>30000</v>
      </c>
    </row>
    <row r="7" spans="1:5" x14ac:dyDescent="0.3">
      <c r="A7">
        <f>0.5*A1+0.5*B1+0.5*C1+0.75*D1+1*E1</f>
        <v>4000</v>
      </c>
      <c r="B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Диаграммы</vt:lpstr>
      </vt:variant>
      <vt:variant>
        <vt:i4>2</vt:i4>
      </vt:variant>
    </vt:vector>
  </HeadingPairs>
  <TitlesOfParts>
    <vt:vector size="7" baseType="lpstr">
      <vt:lpstr>Лист1</vt:lpstr>
      <vt:lpstr>Отчет о результатах 1</vt:lpstr>
      <vt:lpstr>Отчет об устойчивости 1</vt:lpstr>
      <vt:lpstr>Отчет о пределах 1</vt:lpstr>
      <vt:lpstr>Лист2</vt:lpstr>
      <vt:lpstr>Диаграмма1</vt:lpstr>
      <vt:lpstr>Диаграмма2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DANIL d</cp:lastModifiedBy>
  <dcterms:created xsi:type="dcterms:W3CDTF">2015-06-05T18:19:34Z</dcterms:created>
  <dcterms:modified xsi:type="dcterms:W3CDTF">2026-09-03T10:09:18Z</dcterms:modified>
</cp:coreProperties>
</file>