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6f5c08bcc216361/Desktop/МРОЗ - 7 вариант/"/>
    </mc:Choice>
  </mc:AlternateContent>
  <xr:revisionPtr revIDLastSave="17826" documentId="11_AD4DF75460589B3ACB7284393F9846245ADEDD88" xr6:coauthVersionLast="47" xr6:coauthVersionMax="47" xr10:uidLastSave="{6EAAC4A4-543A-4B8A-AF18-F250C6CDE226}"/>
  <bookViews>
    <workbookView xWindow="-108" yWindow="-108" windowWidth="23256" windowHeight="13896" xr2:uid="{00000000-000D-0000-FFFF-FFFF00000000}"/>
  </bookViews>
  <sheets>
    <sheet name="Лист1" sheetId="1" r:id="rId1"/>
    <sheet name="Лист2" sheetId="3" r:id="rId2"/>
    <sheet name="Лист3" sheetId="4" r:id="rId3"/>
  </sheets>
  <definedNames>
    <definedName name="solver_adj" localSheetId="0" hidden="1">Лист1!$B$26:$E$29,Лист1!$L$26:$P$28</definedName>
    <definedName name="solver_adj" localSheetId="1" hidden="1">Лист2!$B$14:$G$19</definedName>
    <definedName name="solver_adj" localSheetId="2" hidden="1">Лист3!$B$22:$K$25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Лист1!$B$31:$E$31</definedName>
    <definedName name="solver_lhs1" localSheetId="1" hidden="1">Лист2!$B$14:$G$19</definedName>
    <definedName name="solver_lhs1" localSheetId="2" hidden="1">Лист3!$B$28:$K$28</definedName>
    <definedName name="solver_lhs10" localSheetId="0" hidden="1">Лист1!$E$23</definedName>
    <definedName name="solver_lhs10" localSheetId="2" hidden="1">Лист3!$N$22:$N$25</definedName>
    <definedName name="solver_lhs11" localSheetId="0" hidden="1">Лист1!#REF!</definedName>
    <definedName name="solver_lhs11" localSheetId="2" hidden="1">Лист3!$N$22:$N$25</definedName>
    <definedName name="solver_lhs12" localSheetId="0" hidden="1">Лист1!$F$20</definedName>
    <definedName name="solver_lhs12" localSheetId="2" hidden="1">Лист3!$N$22:$N$25</definedName>
    <definedName name="solver_lhs13" localSheetId="0" hidden="1">Лист1!$F$22</definedName>
    <definedName name="solver_lhs13" localSheetId="2" hidden="1">Лист3!$K$22:$K$25</definedName>
    <definedName name="solver_lhs14" localSheetId="0" hidden="1">Лист1!#REF!</definedName>
    <definedName name="solver_lhs14" localSheetId="2" hidden="1">Лист3!$N$22:$N$25</definedName>
    <definedName name="solver_lhs15" localSheetId="0" hidden="1">Лист1!$G$21</definedName>
    <definedName name="solver_lhs16" localSheetId="0" hidden="1">Лист1!$G$23</definedName>
    <definedName name="solver_lhs17" localSheetId="0" hidden="1">Лист1!$H$18</definedName>
    <definedName name="solver_lhs18" localSheetId="0" hidden="1">Лист1!$H$20</definedName>
    <definedName name="solver_lhs19" localSheetId="0" hidden="1">Лист1!$H$22</definedName>
    <definedName name="solver_lhs2" localSheetId="0" hidden="1">Лист1!$G$26:$G$29</definedName>
    <definedName name="solver_lhs2" localSheetId="1" hidden="1">Лист2!$B$21:$G$21</definedName>
    <definedName name="solver_lhs2" localSheetId="2" hidden="1">Лист3!$N$22:$N$25</definedName>
    <definedName name="solver_lhs20" localSheetId="0" hidden="1">Лист1!$I$19</definedName>
    <definedName name="solver_lhs21" localSheetId="0" hidden="1">Лист1!$L$17:$L$23</definedName>
    <definedName name="solver_lhs3" localSheetId="0" hidden="1">Лист1!$L$30:$P$30</definedName>
    <definedName name="solver_lhs3" localSheetId="1" hidden="1">Лист2!$I$14:$I$19</definedName>
    <definedName name="solver_lhs3" localSheetId="2" hidden="1">Лист3!$N$22:$N$25</definedName>
    <definedName name="solver_lhs4" localSheetId="0" hidden="1">Лист1!$R$26:$R$28</definedName>
    <definedName name="solver_lhs4" localSheetId="1" hidden="1">Лист2!$M$21</definedName>
    <definedName name="solver_lhs4" localSheetId="2" hidden="1">Лист3!$N$22:$N$25</definedName>
    <definedName name="solver_lhs5" localSheetId="0" hidden="1">Лист1!$G$26:$G$29</definedName>
    <definedName name="solver_lhs5" localSheetId="1" hidden="1">Лист2!$M$21</definedName>
    <definedName name="solver_lhs5" localSheetId="2" hidden="1">Лист3!$N$22:$N$25</definedName>
    <definedName name="solver_lhs6" localSheetId="0" hidden="1">Лист1!$B$31:$E$31</definedName>
    <definedName name="solver_lhs6" localSheetId="1" hidden="1">Лист2!$K$37</definedName>
    <definedName name="solver_lhs6" localSheetId="2" hidden="1">Лист3!$N$22:$N$25</definedName>
    <definedName name="solver_lhs7" localSheetId="0" hidden="1">Лист1!$G$26:$G$29</definedName>
    <definedName name="solver_lhs7" localSheetId="2" hidden="1">Лист3!$N$22:$N$25</definedName>
    <definedName name="solver_lhs8" localSheetId="0" hidden="1">Лист1!$G$26:$G$29</definedName>
    <definedName name="solver_lhs8" localSheetId="2" hidden="1">Лист3!$N$22:$N$25</definedName>
    <definedName name="solver_lhs9" localSheetId="0" hidden="1">Лист1!$R$26:$R$28</definedName>
    <definedName name="solver_lhs9" localSheetId="2" hidden="1">Лист3!$N$22:$N$25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4</definedName>
    <definedName name="solver_num" localSheetId="1" hidden="1">3</definedName>
    <definedName name="solver_num" localSheetId="2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Лист1!$R$30</definedName>
    <definedName name="solver_opt" localSheetId="1" hidden="1">Лист2!$K$21</definedName>
    <definedName name="solver_opt" localSheetId="2" hidden="1">Лист3!$N$28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el1" localSheetId="0" hidden="1">2</definedName>
    <definedName name="solver_rel1" localSheetId="1" hidden="1">4</definedName>
    <definedName name="solver_rel1" localSheetId="2" hidden="1">2</definedName>
    <definedName name="solver_rel10" localSheetId="0" hidden="1">2</definedName>
    <definedName name="solver_rel10" localSheetId="2" hidden="1">1</definedName>
    <definedName name="solver_rel11" localSheetId="0" hidden="1">2</definedName>
    <definedName name="solver_rel11" localSheetId="2" hidden="1">1</definedName>
    <definedName name="solver_rel12" localSheetId="0" hidden="1">2</definedName>
    <definedName name="solver_rel12" localSheetId="2" hidden="1">1</definedName>
    <definedName name="solver_rel13" localSheetId="0" hidden="1">2</definedName>
    <definedName name="solver_rel13" localSheetId="2" hidden="1">1</definedName>
    <definedName name="solver_rel14" localSheetId="0" hidden="1">2</definedName>
    <definedName name="solver_rel14" localSheetId="2" hidden="1">1</definedName>
    <definedName name="solver_rel15" localSheetId="0" hidden="1">2</definedName>
    <definedName name="solver_rel16" localSheetId="0" hidden="1">2</definedName>
    <definedName name="solver_rel17" localSheetId="0" hidden="1">2</definedName>
    <definedName name="solver_rel18" localSheetId="0" hidden="1">2</definedName>
    <definedName name="solver_rel19" localSheetId="0" hidden="1">2</definedName>
    <definedName name="solver_rel2" localSheetId="0" hidden="1">2</definedName>
    <definedName name="solver_rel2" localSheetId="1" hidden="1">2</definedName>
    <definedName name="solver_rel2" localSheetId="2" hidden="1">1</definedName>
    <definedName name="solver_rel20" localSheetId="0" hidden="1">2</definedName>
    <definedName name="solver_rel21" localSheetId="0" hidden="1">2</definedName>
    <definedName name="solver_rel3" localSheetId="0" hidden="1">2</definedName>
    <definedName name="solver_rel3" localSheetId="1" hidden="1">2</definedName>
    <definedName name="solver_rel3" localSheetId="2" hidden="1">1</definedName>
    <definedName name="solver_rel4" localSheetId="0" hidden="1">2</definedName>
    <definedName name="solver_rel4" localSheetId="1" hidden="1">1</definedName>
    <definedName name="solver_rel4" localSheetId="2" hidden="1">1</definedName>
    <definedName name="solver_rel5" localSheetId="0" hidden="1">1</definedName>
    <definedName name="solver_rel5" localSheetId="1" hidden="1">1</definedName>
    <definedName name="solver_rel5" localSheetId="2" hidden="1">1</definedName>
    <definedName name="solver_rel6" localSheetId="0" hidden="1">2</definedName>
    <definedName name="solver_rel6" localSheetId="1" hidden="1">1</definedName>
    <definedName name="solver_rel6" localSheetId="2" hidden="1">1</definedName>
    <definedName name="solver_rel7" localSheetId="0" hidden="1">2</definedName>
    <definedName name="solver_rel7" localSheetId="2" hidden="1">1</definedName>
    <definedName name="solver_rel8" localSheetId="0" hidden="1">2</definedName>
    <definedName name="solver_rel8" localSheetId="2" hidden="1">1</definedName>
    <definedName name="solver_rel9" localSheetId="0" hidden="1">2</definedName>
    <definedName name="solver_rel9" localSheetId="2" hidden="1">1</definedName>
    <definedName name="solver_rhs1" localSheetId="0" hidden="1">Лист1!$B$33:$E$33</definedName>
    <definedName name="solver_rhs1" localSheetId="1" hidden="1">"целое"</definedName>
    <definedName name="solver_rhs1" localSheetId="2" hidden="1">Лист3!$B$30:$K$30</definedName>
    <definedName name="solver_rhs10" localSheetId="0" hidden="1">Лист1!$P$17</definedName>
    <definedName name="solver_rhs10" localSheetId="2" hidden="1">Лист3!$P$22:$P$25</definedName>
    <definedName name="solver_rhs11" localSheetId="0" hidden="1">Лист1!$P$17</definedName>
    <definedName name="solver_rhs11" localSheetId="2" hidden="1">Лист3!$P$22:$P$25</definedName>
    <definedName name="solver_rhs12" localSheetId="0" hidden="1">Лист1!$P$17</definedName>
    <definedName name="solver_rhs12" localSheetId="2" hidden="1">Лист3!$P$22:$P$25</definedName>
    <definedName name="solver_rhs13" localSheetId="0" hidden="1">Лист1!$P$17</definedName>
    <definedName name="solver_rhs13" localSheetId="2" hidden="1">4</definedName>
    <definedName name="solver_rhs14" localSheetId="0" hidden="1">Лист1!$P$17</definedName>
    <definedName name="solver_rhs14" localSheetId="2" hidden="1">Лист3!$P$22:$P$25</definedName>
    <definedName name="solver_rhs15" localSheetId="0" hidden="1">Лист1!$P$17</definedName>
    <definedName name="solver_rhs16" localSheetId="0" hidden="1">Лист1!$P$17</definedName>
    <definedName name="solver_rhs17" localSheetId="0" hidden="1">Лист1!$P$17</definedName>
    <definedName name="solver_rhs18" localSheetId="0" hidden="1">Лист1!$P$17</definedName>
    <definedName name="solver_rhs19" localSheetId="0" hidden="1">Лист1!$P$17</definedName>
    <definedName name="solver_rhs2" localSheetId="0" hidden="1">Лист1!$I$26:$I$29</definedName>
    <definedName name="solver_rhs2" localSheetId="1" hidden="1">Лист2!$B$23:$G$23</definedName>
    <definedName name="solver_rhs2" localSheetId="2" hidden="1">Лист3!$P$22:$P$25</definedName>
    <definedName name="solver_rhs20" localSheetId="0" hidden="1">Лист1!$P$17</definedName>
    <definedName name="solver_rhs21" localSheetId="0" hidden="1">Лист1!$N$17:$N$23</definedName>
    <definedName name="solver_rhs3" localSheetId="0" hidden="1">Лист1!$L$32:$P$32</definedName>
    <definedName name="solver_rhs3" localSheetId="1" hidden="1">Лист2!$K$14:$K$19</definedName>
    <definedName name="solver_rhs3" localSheetId="2" hidden="1">Лист3!$P$22:$P$25</definedName>
    <definedName name="solver_rhs4" localSheetId="0" hidden="1">Лист1!$T$26:$T$28</definedName>
    <definedName name="solver_rhs4" localSheetId="1" hidden="1">5</definedName>
    <definedName name="solver_rhs4" localSheetId="2" hidden="1">Лист3!$P$22:$P$25</definedName>
    <definedName name="solver_rhs5" localSheetId="0" hidden="1">Лист1!$I$26:$I$29</definedName>
    <definedName name="solver_rhs5" localSheetId="1" hidden="1">5</definedName>
    <definedName name="solver_rhs5" localSheetId="2" hidden="1">Лист3!$P$22:$P$25</definedName>
    <definedName name="solver_rhs6" localSheetId="0" hidden="1">Лист1!$B$33:$E$33</definedName>
    <definedName name="solver_rhs6" localSheetId="1" hidden="1">5</definedName>
    <definedName name="solver_rhs6" localSheetId="2" hidden="1">Лист3!$P$22:$P$25</definedName>
    <definedName name="solver_rhs7" localSheetId="0" hidden="1">Лист1!$I$26:$I$29</definedName>
    <definedName name="solver_rhs7" localSheetId="2" hidden="1">Лист3!$P$22:$P$25</definedName>
    <definedName name="solver_rhs8" localSheetId="0" hidden="1">Лист1!$I$26:$I$29</definedName>
    <definedName name="solver_rhs8" localSheetId="2" hidden="1">Лист3!$P$22:$P$25</definedName>
    <definedName name="solver_rhs9" localSheetId="0" hidden="1">Лист1!$T$26:$T$28</definedName>
    <definedName name="solver_rhs9" localSheetId="2" hidden="1">Лист3!$P$22:$P$25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4" l="1"/>
  <c r="K28" i="4"/>
  <c r="C14" i="4"/>
  <c r="D14" i="4"/>
  <c r="E14" i="4"/>
  <c r="F14" i="4"/>
  <c r="G14" i="4"/>
  <c r="H14" i="4"/>
  <c r="I14" i="4"/>
  <c r="J14" i="4"/>
  <c r="C15" i="4"/>
  <c r="D15" i="4"/>
  <c r="E15" i="4"/>
  <c r="F15" i="4"/>
  <c r="G15" i="4"/>
  <c r="H15" i="4"/>
  <c r="I15" i="4"/>
  <c r="J15" i="4"/>
  <c r="D16" i="4"/>
  <c r="E16" i="4"/>
  <c r="F16" i="4"/>
  <c r="G16" i="4"/>
  <c r="H16" i="4"/>
  <c r="I16" i="4"/>
  <c r="J16" i="4"/>
  <c r="C16" i="4"/>
  <c r="C28" i="4"/>
  <c r="D28" i="4"/>
  <c r="E28" i="4"/>
  <c r="F28" i="4"/>
  <c r="G28" i="4"/>
  <c r="H28" i="4"/>
  <c r="I28" i="4"/>
  <c r="J28" i="4"/>
  <c r="N28" i="4"/>
  <c r="N23" i="4"/>
  <c r="N24" i="4"/>
  <c r="N25" i="4"/>
  <c r="N22" i="4"/>
  <c r="B14" i="4"/>
  <c r="K14" i="4"/>
  <c r="B15" i="4"/>
  <c r="K15" i="4"/>
  <c r="B16" i="4"/>
  <c r="K16" i="4"/>
  <c r="B17" i="4"/>
  <c r="C17" i="4"/>
  <c r="D17" i="4"/>
  <c r="E17" i="4"/>
  <c r="F17" i="4"/>
  <c r="G17" i="4"/>
  <c r="H17" i="4"/>
  <c r="I17" i="4"/>
  <c r="J17" i="4"/>
  <c r="K17" i="4"/>
  <c r="C13" i="4"/>
  <c r="D13" i="4"/>
  <c r="E13" i="4"/>
  <c r="F13" i="4"/>
  <c r="G13" i="4"/>
  <c r="H13" i="4"/>
  <c r="I13" i="4"/>
  <c r="J13" i="4"/>
  <c r="K13" i="4"/>
  <c r="B13" i="4"/>
  <c r="U37" i="3"/>
  <c r="Q37" i="3"/>
  <c r="P37" i="3"/>
  <c r="O37" i="3"/>
  <c r="N37" i="3"/>
  <c r="M37" i="3"/>
  <c r="L37" i="3"/>
  <c r="S35" i="3"/>
  <c r="S34" i="3"/>
  <c r="S33" i="3"/>
  <c r="S32" i="3"/>
  <c r="S31" i="3"/>
  <c r="S30" i="3"/>
  <c r="K21" i="3"/>
  <c r="B31" i="3"/>
  <c r="C31" i="3"/>
  <c r="D31" i="3"/>
  <c r="E31" i="3"/>
  <c r="F31" i="3"/>
  <c r="G31" i="3"/>
  <c r="B32" i="3"/>
  <c r="C32" i="3"/>
  <c r="D32" i="3"/>
  <c r="E32" i="3"/>
  <c r="F32" i="3"/>
  <c r="G32" i="3"/>
  <c r="B33" i="3"/>
  <c r="C33" i="3"/>
  <c r="D33" i="3"/>
  <c r="E33" i="3"/>
  <c r="F33" i="3"/>
  <c r="G33" i="3"/>
  <c r="B34" i="3"/>
  <c r="C34" i="3"/>
  <c r="D34" i="3"/>
  <c r="E34" i="3"/>
  <c r="F34" i="3"/>
  <c r="G34" i="3"/>
  <c r="B35" i="3"/>
  <c r="C35" i="3"/>
  <c r="D35" i="3"/>
  <c r="E35" i="3"/>
  <c r="F35" i="3"/>
  <c r="G35" i="3"/>
  <c r="C30" i="3"/>
  <c r="D30" i="3"/>
  <c r="E30" i="3"/>
  <c r="F30" i="3"/>
  <c r="G30" i="3"/>
  <c r="B30" i="3"/>
  <c r="C21" i="3"/>
  <c r="D21" i="3"/>
  <c r="E21" i="3"/>
  <c r="F21" i="3"/>
  <c r="G21" i="3"/>
  <c r="B21" i="3"/>
  <c r="I15" i="3"/>
  <c r="I16" i="3"/>
  <c r="I17" i="3"/>
  <c r="I18" i="3"/>
  <c r="I19" i="3"/>
  <c r="I14" i="3"/>
  <c r="R26" i="1"/>
  <c r="P30" i="1"/>
  <c r="C31" i="1"/>
  <c r="D31" i="1"/>
  <c r="E31" i="1"/>
  <c r="B31" i="1"/>
  <c r="R27" i="1"/>
  <c r="R28" i="1"/>
  <c r="G27" i="1"/>
  <c r="G28" i="1"/>
  <c r="G29" i="1"/>
  <c r="G26" i="1"/>
  <c r="R30" i="1"/>
  <c r="G31" i="1"/>
  <c r="M30" i="1"/>
  <c r="N30" i="1"/>
  <c r="O30" i="1"/>
  <c r="L30" i="1"/>
</calcChain>
</file>

<file path=xl/sharedStrings.xml><?xml version="1.0" encoding="utf-8"?>
<sst xmlns="http://schemas.openxmlformats.org/spreadsheetml/2006/main" count="121" uniqueCount="38">
  <si>
    <t>Клиент X</t>
  </si>
  <si>
    <t>Клиент Y</t>
  </si>
  <si>
    <t>Клиент Z</t>
  </si>
  <si>
    <t>Клиент W</t>
  </si>
  <si>
    <t>A</t>
  </si>
  <si>
    <t>B</t>
  </si>
  <si>
    <t>База 1</t>
  </si>
  <si>
    <t>База 2</t>
  </si>
  <si>
    <t>База 3</t>
  </si>
  <si>
    <t>база1</t>
  </si>
  <si>
    <t>база2</t>
  </si>
  <si>
    <t>база3</t>
  </si>
  <si>
    <t>X</t>
  </si>
  <si>
    <t>Y</t>
  </si>
  <si>
    <t>Z</t>
  </si>
  <si>
    <t>W</t>
  </si>
  <si>
    <t>база4</t>
  </si>
  <si>
    <t>T</t>
  </si>
  <si>
    <t>Аня</t>
  </si>
  <si>
    <t>Маша</t>
  </si>
  <si>
    <t>Катя</t>
  </si>
  <si>
    <t>Лиза</t>
  </si>
  <si>
    <t>Ольга</t>
  </si>
  <si>
    <t>Софья</t>
  </si>
  <si>
    <t>Иван</t>
  </si>
  <si>
    <t>Михаил</t>
  </si>
  <si>
    <t>Павел</t>
  </si>
  <si>
    <t>Николай</t>
  </si>
  <si>
    <t>Алексей</t>
  </si>
  <si>
    <t>Петр</t>
  </si>
  <si>
    <t>Конторы</t>
  </si>
  <si>
    <t>Клиенты</t>
  </si>
  <si>
    <t>Число сотрудников</t>
  </si>
  <si>
    <t>Гаапвилл</t>
  </si>
  <si>
    <t>Финанстаун</t>
  </si>
  <si>
    <t>Исабург</t>
  </si>
  <si>
    <t>Нью-Баланс</t>
  </si>
  <si>
    <t>Заявки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</si>
</sst>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tabSelected="1" zoomScale="89" workbookViewId="0">
      <selection activeCell="R30" sqref="R30"/>
    </sheetView>
  </sheetViews>
  <sheetFormatPr defaultRowHeight="14.4" x14ac:dyDescent="0.3"/>
  <sheetData>
    <row r="1" spans="1:17" x14ac:dyDescent="0.3">
      <c r="A1" s="1"/>
      <c r="B1" s="1"/>
      <c r="C1" s="4" t="s">
        <v>0</v>
      </c>
      <c r="D1" s="5"/>
      <c r="E1" s="4" t="s">
        <v>1</v>
      </c>
      <c r="F1" s="5"/>
      <c r="G1" s="4" t="s">
        <v>2</v>
      </c>
      <c r="H1" s="5"/>
      <c r="I1" s="4" t="s">
        <v>3</v>
      </c>
      <c r="J1" s="5"/>
    </row>
    <row r="2" spans="1:17" x14ac:dyDescent="0.3">
      <c r="A2" s="1"/>
      <c r="B2" s="1"/>
      <c r="C2" s="1" t="s">
        <v>4</v>
      </c>
      <c r="D2" s="1" t="s">
        <v>5</v>
      </c>
      <c r="E2" s="1" t="s">
        <v>4</v>
      </c>
      <c r="F2" s="1" t="s">
        <v>5</v>
      </c>
      <c r="G2" s="1" t="s">
        <v>4</v>
      </c>
      <c r="H2" s="1" t="s">
        <v>5</v>
      </c>
      <c r="I2" s="1" t="s">
        <v>4</v>
      </c>
      <c r="J2" s="1" t="s">
        <v>5</v>
      </c>
    </row>
    <row r="3" spans="1:17" x14ac:dyDescent="0.3">
      <c r="A3" s="2" t="s">
        <v>6</v>
      </c>
      <c r="B3" s="1" t="s">
        <v>4</v>
      </c>
      <c r="C3" s="1">
        <v>595</v>
      </c>
      <c r="D3" s="1"/>
      <c r="E3" s="1">
        <v>480</v>
      </c>
      <c r="F3" s="1"/>
      <c r="G3" s="1">
        <v>455</v>
      </c>
      <c r="H3" s="1"/>
      <c r="I3" s="1">
        <v>430</v>
      </c>
      <c r="J3" s="1"/>
      <c r="L3">
        <v>21</v>
      </c>
    </row>
    <row r="4" spans="1:17" x14ac:dyDescent="0.3">
      <c r="A4" s="3"/>
      <c r="B4" s="1" t="s">
        <v>5</v>
      </c>
      <c r="C4" s="1"/>
      <c r="D4" s="1">
        <v>780</v>
      </c>
      <c r="E4" s="1"/>
      <c r="F4" s="1">
        <v>665</v>
      </c>
      <c r="G4" s="1"/>
      <c r="H4" s="1">
        <v>640</v>
      </c>
      <c r="I4" s="1"/>
      <c r="J4" s="1">
        <v>815</v>
      </c>
      <c r="L4">
        <v>21</v>
      </c>
    </row>
    <row r="5" spans="1:17" x14ac:dyDescent="0.3">
      <c r="A5" s="2" t="s">
        <v>7</v>
      </c>
      <c r="B5" s="1" t="s">
        <v>4</v>
      </c>
      <c r="C5" s="1">
        <v>435</v>
      </c>
      <c r="D5" s="1"/>
      <c r="E5" s="1">
        <v>530</v>
      </c>
      <c r="F5" s="1"/>
      <c r="G5" s="1">
        <v>480</v>
      </c>
      <c r="H5" s="1"/>
      <c r="I5" s="1">
        <v>485</v>
      </c>
      <c r="J5" s="1"/>
      <c r="L5">
        <v>33</v>
      </c>
    </row>
    <row r="6" spans="1:17" x14ac:dyDescent="0.3">
      <c r="A6" s="3"/>
      <c r="B6" s="1" t="s">
        <v>5</v>
      </c>
      <c r="C6" s="1"/>
      <c r="D6" s="1">
        <v>735</v>
      </c>
      <c r="E6" s="1"/>
      <c r="F6" s="1">
        <v>735</v>
      </c>
      <c r="G6" s="1"/>
      <c r="H6" s="1">
        <v>680</v>
      </c>
      <c r="I6" s="1"/>
      <c r="J6" s="1">
        <v>585</v>
      </c>
      <c r="L6">
        <v>42</v>
      </c>
    </row>
    <row r="7" spans="1:17" x14ac:dyDescent="0.3">
      <c r="A7" s="2" t="s">
        <v>8</v>
      </c>
      <c r="B7" s="1" t="s">
        <v>4</v>
      </c>
      <c r="C7" s="1">
        <v>545</v>
      </c>
      <c r="D7" s="1"/>
      <c r="E7" s="1">
        <v>465</v>
      </c>
      <c r="F7" s="1"/>
      <c r="G7" s="1">
        <v>525</v>
      </c>
      <c r="H7" s="1"/>
      <c r="I7" s="1">
        <v>440</v>
      </c>
      <c r="J7" s="1"/>
      <c r="L7">
        <v>17</v>
      </c>
    </row>
    <row r="8" spans="1:17" x14ac:dyDescent="0.3">
      <c r="A8" s="3"/>
      <c r="B8" s="1" t="s">
        <v>5</v>
      </c>
      <c r="C8" s="1"/>
      <c r="D8" s="1">
        <v>715</v>
      </c>
      <c r="E8" s="1"/>
      <c r="F8" s="1">
        <v>755</v>
      </c>
      <c r="G8" s="1"/>
      <c r="H8" s="1">
        <v>815</v>
      </c>
      <c r="I8" s="1"/>
      <c r="J8" s="1">
        <v>795</v>
      </c>
      <c r="L8">
        <v>57</v>
      </c>
    </row>
    <row r="10" spans="1:17" x14ac:dyDescent="0.3">
      <c r="C10">
        <v>15</v>
      </c>
      <c r="D10">
        <v>20</v>
      </c>
      <c r="E10">
        <v>22</v>
      </c>
      <c r="F10">
        <v>26</v>
      </c>
      <c r="G10">
        <v>12</v>
      </c>
      <c r="H10">
        <v>22</v>
      </c>
      <c r="I10">
        <v>32</v>
      </c>
      <c r="J10">
        <v>42</v>
      </c>
    </row>
    <row r="14" spans="1:17" x14ac:dyDescent="0.3">
      <c r="B14" t="s">
        <v>12</v>
      </c>
      <c r="C14" t="s">
        <v>13</v>
      </c>
      <c r="D14" t="s">
        <v>14</v>
      </c>
      <c r="E14" t="s">
        <v>15</v>
      </c>
      <c r="L14" t="s">
        <v>12</v>
      </c>
      <c r="M14" t="s">
        <v>13</v>
      </c>
      <c r="N14" t="s">
        <v>14</v>
      </c>
      <c r="O14" t="s">
        <v>15</v>
      </c>
    </row>
    <row r="15" spans="1:17" x14ac:dyDescent="0.3">
      <c r="A15" t="s">
        <v>9</v>
      </c>
      <c r="B15">
        <v>595</v>
      </c>
      <c r="C15">
        <v>480</v>
      </c>
      <c r="D15">
        <v>455</v>
      </c>
      <c r="E15">
        <v>430</v>
      </c>
      <c r="G15">
        <v>21</v>
      </c>
      <c r="I15">
        <v>21</v>
      </c>
      <c r="K15" t="s">
        <v>9</v>
      </c>
      <c r="L15">
        <v>780</v>
      </c>
      <c r="M15">
        <v>665</v>
      </c>
      <c r="N15">
        <v>640</v>
      </c>
      <c r="O15">
        <v>815</v>
      </c>
      <c r="Q15">
        <v>21</v>
      </c>
    </row>
    <row r="16" spans="1:17" x14ac:dyDescent="0.3">
      <c r="A16" t="s">
        <v>10</v>
      </c>
      <c r="B16">
        <v>435</v>
      </c>
      <c r="C16">
        <v>530</v>
      </c>
      <c r="D16">
        <v>480</v>
      </c>
      <c r="E16">
        <v>485</v>
      </c>
      <c r="G16">
        <v>33</v>
      </c>
      <c r="I16">
        <v>33</v>
      </c>
      <c r="K16" t="s">
        <v>10</v>
      </c>
      <c r="L16">
        <v>735</v>
      </c>
      <c r="M16">
        <v>735</v>
      </c>
      <c r="N16">
        <v>680</v>
      </c>
      <c r="O16">
        <v>585</v>
      </c>
      <c r="Q16">
        <v>42</v>
      </c>
    </row>
    <row r="17" spans="1:20" x14ac:dyDescent="0.3">
      <c r="A17" t="s">
        <v>11</v>
      </c>
      <c r="B17">
        <v>545</v>
      </c>
      <c r="C17">
        <v>465</v>
      </c>
      <c r="D17">
        <v>525</v>
      </c>
      <c r="E17">
        <v>440</v>
      </c>
      <c r="G17">
        <v>17</v>
      </c>
      <c r="I17">
        <v>17</v>
      </c>
      <c r="K17" t="s">
        <v>11</v>
      </c>
      <c r="L17">
        <v>715</v>
      </c>
      <c r="M17">
        <v>755</v>
      </c>
      <c r="N17">
        <v>815</v>
      </c>
      <c r="O17">
        <v>795</v>
      </c>
      <c r="Q17">
        <v>57</v>
      </c>
    </row>
    <row r="18" spans="1:20" x14ac:dyDescent="0.3">
      <c r="A18" t="s">
        <v>16</v>
      </c>
      <c r="B18">
        <v>0</v>
      </c>
      <c r="C18">
        <v>0</v>
      </c>
      <c r="D18">
        <v>0</v>
      </c>
      <c r="E18">
        <v>0</v>
      </c>
      <c r="G18">
        <v>10</v>
      </c>
      <c r="I18">
        <v>10</v>
      </c>
    </row>
    <row r="19" spans="1:20" x14ac:dyDescent="0.3">
      <c r="L19">
        <v>20</v>
      </c>
      <c r="M19">
        <v>26</v>
      </c>
      <c r="N19">
        <v>22</v>
      </c>
      <c r="O19">
        <v>42</v>
      </c>
    </row>
    <row r="20" spans="1:20" x14ac:dyDescent="0.3">
      <c r="B20">
        <v>15</v>
      </c>
      <c r="C20">
        <v>22</v>
      </c>
      <c r="D20">
        <v>12</v>
      </c>
      <c r="E20">
        <v>32</v>
      </c>
    </row>
    <row r="22" spans="1:20" x14ac:dyDescent="0.3">
      <c r="B22">
        <v>15</v>
      </c>
      <c r="C22">
        <v>22</v>
      </c>
      <c r="D22">
        <v>12</v>
      </c>
      <c r="E22">
        <v>32</v>
      </c>
    </row>
    <row r="25" spans="1:20" x14ac:dyDescent="0.3">
      <c r="B25" t="s">
        <v>12</v>
      </c>
      <c r="C25" t="s">
        <v>13</v>
      </c>
      <c r="D25" t="s">
        <v>14</v>
      </c>
      <c r="E25" t="s">
        <v>15</v>
      </c>
      <c r="L25" t="s">
        <v>12</v>
      </c>
      <c r="M25" t="s">
        <v>13</v>
      </c>
      <c r="N25" t="s">
        <v>14</v>
      </c>
      <c r="O25" t="s">
        <v>15</v>
      </c>
      <c r="P25" t="s">
        <v>17</v>
      </c>
    </row>
    <row r="26" spans="1:20" x14ac:dyDescent="0.3">
      <c r="A26" t="s">
        <v>9</v>
      </c>
      <c r="B26">
        <v>0</v>
      </c>
      <c r="C26">
        <v>0</v>
      </c>
      <c r="D26">
        <v>0</v>
      </c>
      <c r="E26">
        <v>21</v>
      </c>
      <c r="G26">
        <f>SUM(B26:E26)</f>
        <v>21</v>
      </c>
      <c r="I26">
        <v>21</v>
      </c>
      <c r="K26" t="s">
        <v>9</v>
      </c>
      <c r="L26">
        <v>0</v>
      </c>
      <c r="M26">
        <v>0</v>
      </c>
      <c r="N26">
        <v>21</v>
      </c>
      <c r="O26">
        <v>0</v>
      </c>
      <c r="P26">
        <v>0</v>
      </c>
      <c r="R26">
        <f>SUM(L26:P26)</f>
        <v>21</v>
      </c>
      <c r="T26">
        <v>21</v>
      </c>
    </row>
    <row r="27" spans="1:20" x14ac:dyDescent="0.3">
      <c r="A27" t="s">
        <v>10</v>
      </c>
      <c r="B27">
        <v>15</v>
      </c>
      <c r="C27">
        <v>0</v>
      </c>
      <c r="D27">
        <v>12</v>
      </c>
      <c r="E27">
        <v>6</v>
      </c>
      <c r="G27">
        <f t="shared" ref="G27:G29" si="0">SUM(B27:E27)</f>
        <v>33</v>
      </c>
      <c r="I27">
        <v>33</v>
      </c>
      <c r="K27" t="s">
        <v>10</v>
      </c>
      <c r="L27">
        <v>0</v>
      </c>
      <c r="M27">
        <v>0</v>
      </c>
      <c r="N27">
        <v>0</v>
      </c>
      <c r="O27">
        <v>42</v>
      </c>
      <c r="P27">
        <v>0</v>
      </c>
      <c r="R27">
        <f t="shared" ref="R27:R28" si="1">SUM(L27:P27)</f>
        <v>42</v>
      </c>
      <c r="T27">
        <v>42</v>
      </c>
    </row>
    <row r="28" spans="1:20" x14ac:dyDescent="0.3">
      <c r="A28" t="s">
        <v>11</v>
      </c>
      <c r="B28">
        <v>0</v>
      </c>
      <c r="C28">
        <v>12</v>
      </c>
      <c r="D28">
        <v>0</v>
      </c>
      <c r="E28">
        <v>5</v>
      </c>
      <c r="G28">
        <f t="shared" si="0"/>
        <v>17</v>
      </c>
      <c r="I28">
        <v>17</v>
      </c>
      <c r="K28" t="s">
        <v>11</v>
      </c>
      <c r="L28">
        <v>20</v>
      </c>
      <c r="M28">
        <v>26</v>
      </c>
      <c r="N28">
        <v>1</v>
      </c>
      <c r="O28">
        <v>0</v>
      </c>
      <c r="P28">
        <v>10</v>
      </c>
      <c r="R28">
        <f t="shared" si="1"/>
        <v>57</v>
      </c>
      <c r="T28">
        <v>57</v>
      </c>
    </row>
    <row r="29" spans="1:20" x14ac:dyDescent="0.3">
      <c r="A29" t="s">
        <v>16</v>
      </c>
      <c r="B29">
        <v>0</v>
      </c>
      <c r="C29">
        <v>10</v>
      </c>
      <c r="D29">
        <v>0</v>
      </c>
      <c r="E29">
        <v>0</v>
      </c>
      <c r="G29">
        <f t="shared" si="0"/>
        <v>10</v>
      </c>
      <c r="I29">
        <v>10</v>
      </c>
    </row>
    <row r="30" spans="1:20" x14ac:dyDescent="0.3">
      <c r="L30">
        <f>SUM(L26:L28)</f>
        <v>20</v>
      </c>
      <c r="M30">
        <f t="shared" ref="M30:P30" si="2">SUM(M26:M28)</f>
        <v>26</v>
      </c>
      <c r="N30">
        <f t="shared" si="2"/>
        <v>22</v>
      </c>
      <c r="O30">
        <f t="shared" si="2"/>
        <v>42</v>
      </c>
      <c r="P30">
        <f>SUM(P26:P28)</f>
        <v>10</v>
      </c>
      <c r="R30">
        <f>SUMPRODUCT(L26:O28,L15:O17)+SUMPRODUCT(B15:E17,B26:E28)</f>
        <v>104760</v>
      </c>
    </row>
    <row r="31" spans="1:20" x14ac:dyDescent="0.3">
      <c r="B31">
        <f>SUM(B26:B29)</f>
        <v>15</v>
      </c>
      <c r="C31">
        <f t="shared" ref="C31:E31" si="3">SUM(C26:C29)</f>
        <v>22</v>
      </c>
      <c r="D31">
        <f t="shared" si="3"/>
        <v>12</v>
      </c>
      <c r="E31">
        <f t="shared" si="3"/>
        <v>32</v>
      </c>
      <c r="G31">
        <f>SUMPRODUCT(B15:E18,B26:E29)</f>
        <v>32005</v>
      </c>
    </row>
    <row r="32" spans="1:20" x14ac:dyDescent="0.3">
      <c r="L32">
        <v>20</v>
      </c>
      <c r="M32">
        <v>26</v>
      </c>
      <c r="N32">
        <v>22</v>
      </c>
      <c r="O32">
        <v>42</v>
      </c>
      <c r="P32">
        <v>10</v>
      </c>
    </row>
    <row r="33" spans="2:5" x14ac:dyDescent="0.3">
      <c r="B33">
        <v>15</v>
      </c>
      <c r="C33">
        <v>22</v>
      </c>
      <c r="D33">
        <v>12</v>
      </c>
      <c r="E33">
        <v>32</v>
      </c>
    </row>
  </sheetData>
  <mergeCells count="7">
    <mergeCell ref="A7:A8"/>
    <mergeCell ref="C1:D1"/>
    <mergeCell ref="E1:F1"/>
    <mergeCell ref="G1:H1"/>
    <mergeCell ref="I1:J1"/>
    <mergeCell ref="A3:A4"/>
    <mergeCell ref="A5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2EC9-C5ED-416E-BD31-C9E7B0F7BEF2}">
  <dimension ref="A1:U39"/>
  <sheetViews>
    <sheetView topLeftCell="A16" workbookViewId="0">
      <selection activeCell="U37" sqref="U37"/>
    </sheetView>
  </sheetViews>
  <sheetFormatPr defaultRowHeight="14.4" x14ac:dyDescent="0.3"/>
  <cols>
    <col min="11" max="11" width="10" bestFit="1" customWidth="1"/>
    <col min="21" max="21" width="10" bestFit="1" customWidth="1"/>
    <col min="25" max="25" width="10" bestFit="1" customWidth="1"/>
  </cols>
  <sheetData>
    <row r="1" spans="1:11" x14ac:dyDescent="0.3">
      <c r="A1" s="1"/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11" x14ac:dyDescent="0.3">
      <c r="A2" s="1" t="s">
        <v>24</v>
      </c>
      <c r="B2" s="1">
        <v>3</v>
      </c>
      <c r="C2" s="1">
        <v>4</v>
      </c>
      <c r="D2" s="1">
        <v>9</v>
      </c>
      <c r="E2" s="1">
        <v>18</v>
      </c>
      <c r="F2" s="1">
        <v>9</v>
      </c>
      <c r="G2" s="1">
        <v>6</v>
      </c>
    </row>
    <row r="3" spans="1:11" x14ac:dyDescent="0.3">
      <c r="A3" s="1" t="s">
        <v>25</v>
      </c>
      <c r="B3" s="1">
        <v>16</v>
      </c>
      <c r="C3" s="1">
        <v>8</v>
      </c>
      <c r="D3" s="1">
        <v>12</v>
      </c>
      <c r="E3" s="1">
        <v>13</v>
      </c>
      <c r="F3" s="1">
        <v>20</v>
      </c>
      <c r="G3" s="1">
        <v>4</v>
      </c>
    </row>
    <row r="4" spans="1:11" x14ac:dyDescent="0.3">
      <c r="A4" s="1" t="s">
        <v>26</v>
      </c>
      <c r="B4" s="1">
        <v>8</v>
      </c>
      <c r="C4" s="1">
        <v>6</v>
      </c>
      <c r="D4" s="1">
        <v>13</v>
      </c>
      <c r="E4" s="1">
        <v>1</v>
      </c>
      <c r="F4" s="1">
        <v>6</v>
      </c>
      <c r="G4" s="1">
        <v>9</v>
      </c>
    </row>
    <row r="5" spans="1:11" x14ac:dyDescent="0.3">
      <c r="A5" s="1" t="s">
        <v>27</v>
      </c>
      <c r="B5" s="1">
        <v>16</v>
      </c>
      <c r="C5" s="1">
        <v>9</v>
      </c>
      <c r="D5" s="1">
        <v>6</v>
      </c>
      <c r="E5" s="1">
        <v>8</v>
      </c>
      <c r="F5" s="1">
        <v>1</v>
      </c>
      <c r="G5" s="1">
        <v>11</v>
      </c>
    </row>
    <row r="6" spans="1:11" x14ac:dyDescent="0.3">
      <c r="A6" s="1" t="s">
        <v>28</v>
      </c>
      <c r="B6" s="1">
        <v>8</v>
      </c>
      <c r="C6" s="1">
        <v>12</v>
      </c>
      <c r="D6" s="1">
        <v>17</v>
      </c>
      <c r="E6" s="1">
        <v>5</v>
      </c>
      <c r="F6" s="1">
        <v>3</v>
      </c>
      <c r="G6" s="1">
        <v>5</v>
      </c>
    </row>
    <row r="7" spans="1:11" x14ac:dyDescent="0.3">
      <c r="A7" s="1" t="s">
        <v>29</v>
      </c>
      <c r="B7" s="1">
        <v>2</v>
      </c>
      <c r="C7" s="1">
        <v>9</v>
      </c>
      <c r="D7" s="1">
        <v>1</v>
      </c>
      <c r="E7" s="1">
        <v>10</v>
      </c>
      <c r="F7" s="1">
        <v>5</v>
      </c>
      <c r="G7" s="1">
        <v>17</v>
      </c>
    </row>
    <row r="13" spans="1:11" x14ac:dyDescent="0.3">
      <c r="A13" s="1"/>
      <c r="B13" s="1" t="s">
        <v>18</v>
      </c>
      <c r="C13" s="1" t="s">
        <v>19</v>
      </c>
      <c r="D13" s="1" t="s">
        <v>20</v>
      </c>
      <c r="E13" s="1" t="s">
        <v>21</v>
      </c>
      <c r="F13" s="1" t="s">
        <v>22</v>
      </c>
      <c r="G13" s="1" t="s">
        <v>23</v>
      </c>
    </row>
    <row r="14" spans="1:11" x14ac:dyDescent="0.3">
      <c r="A14" s="1" t="s">
        <v>24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I14">
        <f>SUM(B14:G14)</f>
        <v>1</v>
      </c>
      <c r="K14">
        <v>1</v>
      </c>
    </row>
    <row r="15" spans="1:11" x14ac:dyDescent="0.3">
      <c r="A15" s="1" t="s">
        <v>25</v>
      </c>
      <c r="B15" s="1">
        <v>0</v>
      </c>
      <c r="C15" s="1">
        <v>1</v>
      </c>
      <c r="D15" s="1">
        <v>0</v>
      </c>
      <c r="E15" s="1">
        <v>0</v>
      </c>
      <c r="F15" s="1">
        <v>0</v>
      </c>
      <c r="G15" s="1">
        <v>0</v>
      </c>
      <c r="I15">
        <f t="shared" ref="I15:I19" si="0">SUM(B15:G15)</f>
        <v>1</v>
      </c>
      <c r="K15">
        <v>1</v>
      </c>
    </row>
    <row r="16" spans="1:11" x14ac:dyDescent="0.3">
      <c r="A16" s="1" t="s">
        <v>26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G16" s="1">
        <v>0</v>
      </c>
      <c r="I16">
        <f t="shared" si="0"/>
        <v>1</v>
      </c>
      <c r="K16">
        <v>1</v>
      </c>
    </row>
    <row r="17" spans="1:21" x14ac:dyDescent="0.3">
      <c r="A17" s="1" t="s">
        <v>27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I17">
        <f t="shared" si="0"/>
        <v>1</v>
      </c>
      <c r="K17">
        <v>1</v>
      </c>
    </row>
    <row r="18" spans="1:21" x14ac:dyDescent="0.3">
      <c r="A18" s="1" t="s">
        <v>28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  <c r="I18">
        <f t="shared" si="0"/>
        <v>1</v>
      </c>
      <c r="K18">
        <v>1</v>
      </c>
    </row>
    <row r="19" spans="1:21" x14ac:dyDescent="0.3">
      <c r="A19" s="1" t="s">
        <v>29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  <c r="I19">
        <f t="shared" si="0"/>
        <v>1</v>
      </c>
      <c r="K19">
        <v>1</v>
      </c>
    </row>
    <row r="21" spans="1:21" x14ac:dyDescent="0.3">
      <c r="B21">
        <f>SUM(B14:B19)</f>
        <v>1</v>
      </c>
      <c r="C21">
        <f t="shared" ref="C21:G21" si="1">SUM(C14:C19)</f>
        <v>1</v>
      </c>
      <c r="D21">
        <f t="shared" si="1"/>
        <v>1</v>
      </c>
      <c r="E21">
        <f t="shared" si="1"/>
        <v>1</v>
      </c>
      <c r="F21">
        <f t="shared" si="1"/>
        <v>1</v>
      </c>
      <c r="G21">
        <f t="shared" si="1"/>
        <v>1</v>
      </c>
      <c r="K21">
        <f>SUMPRODUCT(B2:G7,B14:G19)</f>
        <v>19</v>
      </c>
    </row>
    <row r="23" spans="1:21" x14ac:dyDescent="0.3"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</row>
    <row r="29" spans="1:21" x14ac:dyDescent="0.3">
      <c r="A29" s="1"/>
      <c r="B29" s="1" t="s">
        <v>18</v>
      </c>
      <c r="C29" s="1" t="s">
        <v>19</v>
      </c>
      <c r="D29" s="1" t="s">
        <v>20</v>
      </c>
      <c r="E29" s="1" t="s">
        <v>21</v>
      </c>
      <c r="F29" s="1" t="s">
        <v>22</v>
      </c>
      <c r="G29" s="1" t="s">
        <v>23</v>
      </c>
      <c r="K29" s="1"/>
      <c r="L29" s="1" t="s">
        <v>18</v>
      </c>
      <c r="M29" s="1" t="s">
        <v>19</v>
      </c>
      <c r="N29" s="1" t="s">
        <v>20</v>
      </c>
      <c r="O29" s="1" t="s">
        <v>21</v>
      </c>
      <c r="P29" s="1" t="s">
        <v>22</v>
      </c>
      <c r="Q29" s="1" t="s">
        <v>23</v>
      </c>
    </row>
    <row r="30" spans="1:21" x14ac:dyDescent="0.3">
      <c r="A30" s="1" t="s">
        <v>24</v>
      </c>
      <c r="B30" s="1">
        <f>IF(B2&gt;6,100000000,B2)</f>
        <v>3</v>
      </c>
      <c r="C30" s="1">
        <f t="shared" ref="C30:G30" si="2">IF(C2&gt;6,100000000,C2)</f>
        <v>4</v>
      </c>
      <c r="D30" s="1">
        <f t="shared" si="2"/>
        <v>100000000</v>
      </c>
      <c r="E30" s="1">
        <f t="shared" si="2"/>
        <v>100000000</v>
      </c>
      <c r="F30" s="1">
        <f t="shared" si="2"/>
        <v>100000000</v>
      </c>
      <c r="G30" s="1">
        <f t="shared" si="2"/>
        <v>6</v>
      </c>
      <c r="K30" s="1" t="s">
        <v>24</v>
      </c>
      <c r="L30" s="1">
        <v>1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S30">
        <f>SUM(L30:Q30)</f>
        <v>1</v>
      </c>
      <c r="U30">
        <v>1</v>
      </c>
    </row>
    <row r="31" spans="1:21" x14ac:dyDescent="0.3">
      <c r="A31" s="1" t="s">
        <v>25</v>
      </c>
      <c r="B31" s="1">
        <f t="shared" ref="B31:G31" si="3">IF(B3&gt;6,100000000,B3)</f>
        <v>100000000</v>
      </c>
      <c r="C31" s="1">
        <f t="shared" si="3"/>
        <v>100000000</v>
      </c>
      <c r="D31" s="1">
        <f t="shared" si="3"/>
        <v>100000000</v>
      </c>
      <c r="E31" s="1">
        <f t="shared" si="3"/>
        <v>100000000</v>
      </c>
      <c r="F31" s="1">
        <f t="shared" si="3"/>
        <v>100000000</v>
      </c>
      <c r="G31" s="1">
        <f t="shared" si="3"/>
        <v>4</v>
      </c>
      <c r="K31" s="1" t="s">
        <v>25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1</v>
      </c>
      <c r="S31">
        <f t="shared" ref="S31:S35" si="4">SUM(L31:Q31)</f>
        <v>1</v>
      </c>
      <c r="U31">
        <v>1</v>
      </c>
    </row>
    <row r="32" spans="1:21" x14ac:dyDescent="0.3">
      <c r="A32" s="1" t="s">
        <v>26</v>
      </c>
      <c r="B32" s="1">
        <f t="shared" ref="B32:G32" si="5">IF(B4&gt;6,100000000,B4)</f>
        <v>100000000</v>
      </c>
      <c r="C32" s="1">
        <f t="shared" si="5"/>
        <v>6</v>
      </c>
      <c r="D32" s="1">
        <f t="shared" si="5"/>
        <v>100000000</v>
      </c>
      <c r="E32" s="1">
        <f t="shared" si="5"/>
        <v>1</v>
      </c>
      <c r="F32" s="1">
        <f t="shared" si="5"/>
        <v>6</v>
      </c>
      <c r="G32" s="1">
        <f t="shared" si="5"/>
        <v>100000000</v>
      </c>
      <c r="K32" s="1" t="s">
        <v>26</v>
      </c>
      <c r="L32" s="1">
        <v>0</v>
      </c>
      <c r="M32" s="1">
        <v>1</v>
      </c>
      <c r="N32" s="1">
        <v>0</v>
      </c>
      <c r="O32" s="1">
        <v>0</v>
      </c>
      <c r="P32" s="1">
        <v>0</v>
      </c>
      <c r="Q32" s="1">
        <v>0</v>
      </c>
      <c r="S32">
        <f t="shared" si="4"/>
        <v>1</v>
      </c>
      <c r="U32">
        <v>1</v>
      </c>
    </row>
    <row r="33" spans="1:21" x14ac:dyDescent="0.3">
      <c r="A33" s="1" t="s">
        <v>27</v>
      </c>
      <c r="B33" s="1">
        <f t="shared" ref="B33:G33" si="6">IF(B5&gt;6,100000000,B5)</f>
        <v>100000000</v>
      </c>
      <c r="C33" s="1">
        <f t="shared" si="6"/>
        <v>100000000</v>
      </c>
      <c r="D33" s="1">
        <f t="shared" si="6"/>
        <v>6</v>
      </c>
      <c r="E33" s="1">
        <f t="shared" si="6"/>
        <v>100000000</v>
      </c>
      <c r="F33" s="1">
        <f t="shared" si="6"/>
        <v>1</v>
      </c>
      <c r="G33" s="1">
        <f t="shared" si="6"/>
        <v>100000000</v>
      </c>
      <c r="K33" s="1" t="s">
        <v>27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>
        <v>0</v>
      </c>
      <c r="S33">
        <f t="shared" si="4"/>
        <v>1</v>
      </c>
      <c r="U33">
        <v>1</v>
      </c>
    </row>
    <row r="34" spans="1:21" x14ac:dyDescent="0.3">
      <c r="A34" s="1" t="s">
        <v>28</v>
      </c>
      <c r="B34" s="1">
        <f t="shared" ref="B34:G34" si="7">IF(B6&gt;6,100000000,B6)</f>
        <v>100000000</v>
      </c>
      <c r="C34" s="1">
        <f t="shared" si="7"/>
        <v>100000000</v>
      </c>
      <c r="D34" s="1">
        <f t="shared" si="7"/>
        <v>100000000</v>
      </c>
      <c r="E34" s="1">
        <f t="shared" si="7"/>
        <v>5</v>
      </c>
      <c r="F34" s="1">
        <f t="shared" si="7"/>
        <v>3</v>
      </c>
      <c r="G34" s="1">
        <f t="shared" si="7"/>
        <v>5</v>
      </c>
      <c r="K34" s="1" t="s">
        <v>28</v>
      </c>
      <c r="L34" s="1">
        <v>0</v>
      </c>
      <c r="M34" s="1">
        <v>0</v>
      </c>
      <c r="N34" s="1">
        <v>0</v>
      </c>
      <c r="O34" s="1">
        <v>1</v>
      </c>
      <c r="P34" s="1">
        <v>0</v>
      </c>
      <c r="Q34" s="1">
        <v>0</v>
      </c>
      <c r="S34">
        <f t="shared" si="4"/>
        <v>1</v>
      </c>
      <c r="U34">
        <v>1</v>
      </c>
    </row>
    <row r="35" spans="1:21" x14ac:dyDescent="0.3">
      <c r="A35" s="1" t="s">
        <v>29</v>
      </c>
      <c r="B35" s="1">
        <f t="shared" ref="B35:G35" si="8">IF(B7&gt;6,100000000,B7)</f>
        <v>2</v>
      </c>
      <c r="C35" s="1">
        <f t="shared" si="8"/>
        <v>100000000</v>
      </c>
      <c r="D35" s="1">
        <f t="shared" si="8"/>
        <v>1</v>
      </c>
      <c r="E35" s="1">
        <f t="shared" si="8"/>
        <v>100000000</v>
      </c>
      <c r="F35" s="1">
        <f t="shared" si="8"/>
        <v>5</v>
      </c>
      <c r="G35" s="1">
        <f t="shared" si="8"/>
        <v>100000000</v>
      </c>
      <c r="K35" s="1" t="s">
        <v>29</v>
      </c>
      <c r="L35" s="1">
        <v>0</v>
      </c>
      <c r="M35" s="1">
        <v>0</v>
      </c>
      <c r="N35" s="1">
        <v>1</v>
      </c>
      <c r="O35" s="1">
        <v>0</v>
      </c>
      <c r="P35" s="1">
        <v>0</v>
      </c>
      <c r="Q35" s="1">
        <v>0</v>
      </c>
      <c r="S35">
        <f t="shared" si="4"/>
        <v>1</v>
      </c>
      <c r="U35">
        <v>1</v>
      </c>
    </row>
    <row r="37" spans="1:21" x14ac:dyDescent="0.3">
      <c r="L37">
        <f>SUM(L30:L35)</f>
        <v>1</v>
      </c>
      <c r="M37">
        <f t="shared" ref="M37:Q37" si="9">SUM(M30:M35)</f>
        <v>1</v>
      </c>
      <c r="N37">
        <f t="shared" si="9"/>
        <v>1</v>
      </c>
      <c r="O37">
        <f t="shared" si="9"/>
        <v>1</v>
      </c>
      <c r="P37">
        <f t="shared" si="9"/>
        <v>1</v>
      </c>
      <c r="Q37">
        <f t="shared" si="9"/>
        <v>1</v>
      </c>
      <c r="U37">
        <f>SUMPRODUCT(B30:G35,L30:Q35)</f>
        <v>20</v>
      </c>
    </row>
    <row r="39" spans="1:21" x14ac:dyDescent="0.3"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508E-2586-4AC4-9263-479250A0C298}">
  <dimension ref="A1:P30"/>
  <sheetViews>
    <sheetView zoomScale="81" workbookViewId="0">
      <selection activeCell="N28" sqref="N28"/>
    </sheetView>
  </sheetViews>
  <sheetFormatPr defaultRowHeight="14.4" x14ac:dyDescent="0.3"/>
  <cols>
    <col min="2" max="2" width="17.21875" bestFit="1" customWidth="1"/>
    <col min="3" max="4" width="17.33203125" bestFit="1" customWidth="1"/>
    <col min="5" max="5" width="17.21875" bestFit="1" customWidth="1"/>
    <col min="6" max="6" width="17" bestFit="1" customWidth="1"/>
    <col min="7" max="8" width="17.33203125" bestFit="1" customWidth="1"/>
    <col min="9" max="9" width="16.33203125" bestFit="1" customWidth="1"/>
    <col min="10" max="10" width="16.88671875" bestFit="1" customWidth="1"/>
    <col min="11" max="11" width="17.21875" bestFit="1" customWidth="1"/>
    <col min="14" max="14" width="17.5546875" bestFit="1" customWidth="1"/>
  </cols>
  <sheetData>
    <row r="1" spans="1:12" ht="25.2" customHeight="1" x14ac:dyDescent="0.3">
      <c r="A1" s="6" t="s">
        <v>30</v>
      </c>
      <c r="B1" s="7" t="s">
        <v>31</v>
      </c>
      <c r="C1" s="8"/>
      <c r="D1" s="8"/>
      <c r="E1" s="8"/>
      <c r="F1" s="8"/>
      <c r="G1" s="8"/>
      <c r="H1" s="8"/>
      <c r="I1" s="8"/>
      <c r="J1" s="8"/>
      <c r="K1" s="9"/>
      <c r="L1" s="6" t="s">
        <v>32</v>
      </c>
    </row>
    <row r="2" spans="1:12" x14ac:dyDescent="0.3">
      <c r="A2" s="10"/>
      <c r="B2" s="11">
        <v>1</v>
      </c>
      <c r="C2" s="11">
        <v>2</v>
      </c>
      <c r="D2" s="11">
        <v>3</v>
      </c>
      <c r="E2" s="11">
        <v>4</v>
      </c>
      <c r="F2" s="11">
        <v>5</v>
      </c>
      <c r="G2" s="11">
        <v>6</v>
      </c>
      <c r="H2" s="11">
        <v>7</v>
      </c>
      <c r="I2" s="11">
        <v>8</v>
      </c>
      <c r="J2" s="11">
        <v>9</v>
      </c>
      <c r="K2" s="11">
        <v>10</v>
      </c>
      <c r="L2" s="10"/>
    </row>
    <row r="3" spans="1:12" ht="26.4" x14ac:dyDescent="0.3">
      <c r="A3" s="11" t="s">
        <v>33</v>
      </c>
      <c r="B3" s="11">
        <v>8</v>
      </c>
      <c r="C3" s="11">
        <v>21</v>
      </c>
      <c r="D3" s="11">
        <v>15</v>
      </c>
      <c r="E3" s="11">
        <v>13</v>
      </c>
      <c r="F3" s="11">
        <v>9</v>
      </c>
      <c r="G3" s="11">
        <v>17</v>
      </c>
      <c r="H3" s="11">
        <v>18</v>
      </c>
      <c r="I3" s="11">
        <v>7</v>
      </c>
      <c r="J3" s="11">
        <v>26</v>
      </c>
      <c r="K3" s="11">
        <v>9</v>
      </c>
      <c r="L3" s="11">
        <v>35</v>
      </c>
    </row>
    <row r="4" spans="1:12" ht="26.4" x14ac:dyDescent="0.3">
      <c r="A4" s="11" t="s">
        <v>34</v>
      </c>
      <c r="B4" s="11">
        <v>14</v>
      </c>
      <c r="C4" s="11">
        <v>18</v>
      </c>
      <c r="D4" s="11">
        <v>17</v>
      </c>
      <c r="E4" s="11">
        <v>19</v>
      </c>
      <c r="F4" s="11">
        <v>12</v>
      </c>
      <c r="G4" s="11">
        <v>6</v>
      </c>
      <c r="H4" s="11"/>
      <c r="I4" s="11">
        <v>15</v>
      </c>
      <c r="J4" s="11">
        <v>24</v>
      </c>
      <c r="K4" s="11">
        <v>13</v>
      </c>
      <c r="L4" s="11">
        <v>20</v>
      </c>
    </row>
    <row r="5" spans="1:12" x14ac:dyDescent="0.3">
      <c r="A5" s="11" t="s">
        <v>35</v>
      </c>
      <c r="B5" s="11">
        <v>9</v>
      </c>
      <c r="C5" s="11">
        <v>15</v>
      </c>
      <c r="D5" s="11">
        <v>18</v>
      </c>
      <c r="E5" s="11">
        <v>16</v>
      </c>
      <c r="F5" s="11">
        <v>16</v>
      </c>
      <c r="G5" s="11">
        <v>15</v>
      </c>
      <c r="H5" s="11">
        <v>11</v>
      </c>
      <c r="I5" s="11">
        <v>13</v>
      </c>
      <c r="J5" s="11">
        <v>21</v>
      </c>
      <c r="K5" s="11">
        <v>19</v>
      </c>
      <c r="L5" s="11">
        <v>25</v>
      </c>
    </row>
    <row r="6" spans="1:12" ht="26.4" x14ac:dyDescent="0.3">
      <c r="A6" s="11" t="s">
        <v>36</v>
      </c>
      <c r="B6" s="11">
        <v>11</v>
      </c>
      <c r="C6" s="11"/>
      <c r="D6" s="11">
        <v>14</v>
      </c>
      <c r="E6" s="11">
        <v>7</v>
      </c>
      <c r="F6" s="11">
        <v>23</v>
      </c>
      <c r="G6" s="11">
        <v>9</v>
      </c>
      <c r="H6" s="11">
        <v>6</v>
      </c>
      <c r="I6" s="11">
        <v>18</v>
      </c>
      <c r="J6" s="11"/>
      <c r="K6" s="11">
        <v>7</v>
      </c>
      <c r="L6" s="11">
        <v>10</v>
      </c>
    </row>
    <row r="7" spans="1:12" x14ac:dyDescent="0.3">
      <c r="A7" s="11" t="s">
        <v>37</v>
      </c>
      <c r="B7" s="11">
        <v>4</v>
      </c>
      <c r="C7" s="11">
        <v>9</v>
      </c>
      <c r="D7" s="11">
        <v>2</v>
      </c>
      <c r="E7" s="11">
        <v>12</v>
      </c>
      <c r="F7" s="11">
        <v>7</v>
      </c>
      <c r="G7" s="11">
        <v>6</v>
      </c>
      <c r="H7" s="11">
        <v>9</v>
      </c>
      <c r="I7" s="11">
        <v>3</v>
      </c>
      <c r="J7" s="11">
        <v>18</v>
      </c>
      <c r="K7" s="11">
        <v>5</v>
      </c>
      <c r="L7" s="11"/>
    </row>
    <row r="11" spans="1:12" x14ac:dyDescent="0.3">
      <c r="A11" s="6" t="s">
        <v>30</v>
      </c>
      <c r="B11" s="7" t="s">
        <v>31</v>
      </c>
      <c r="C11" s="8"/>
      <c r="D11" s="8"/>
      <c r="E11" s="8"/>
      <c r="F11" s="8"/>
      <c r="G11" s="8"/>
      <c r="H11" s="8"/>
      <c r="I11" s="8"/>
      <c r="J11" s="8"/>
      <c r="K11" s="9"/>
    </row>
    <row r="12" spans="1:12" x14ac:dyDescent="0.3">
      <c r="A12" s="10"/>
      <c r="B12" s="11">
        <v>1</v>
      </c>
      <c r="C12" s="11">
        <v>2</v>
      </c>
      <c r="D12" s="11">
        <v>3</v>
      </c>
      <c r="E12" s="11">
        <v>4</v>
      </c>
      <c r="F12" s="11">
        <v>5</v>
      </c>
      <c r="G12" s="11">
        <v>6</v>
      </c>
      <c r="H12" s="11">
        <v>7</v>
      </c>
      <c r="I12" s="11">
        <v>8</v>
      </c>
      <c r="J12" s="11">
        <v>9</v>
      </c>
      <c r="K12" s="11">
        <v>10</v>
      </c>
    </row>
    <row r="13" spans="1:12" ht="26.4" x14ac:dyDescent="0.3">
      <c r="A13" s="11" t="s">
        <v>33</v>
      </c>
      <c r="B13" s="11">
        <f>IF(B3&lt;1,100000000000000,B3)</f>
        <v>8</v>
      </c>
      <c r="C13" s="11">
        <f t="shared" ref="C13:L13" si="0">IF(C3&lt;1,100000000000000,C3)</f>
        <v>21</v>
      </c>
      <c r="D13" s="11">
        <f t="shared" si="0"/>
        <v>15</v>
      </c>
      <c r="E13" s="11">
        <f t="shared" si="0"/>
        <v>13</v>
      </c>
      <c r="F13" s="11">
        <f t="shared" si="0"/>
        <v>9</v>
      </c>
      <c r="G13" s="11">
        <f t="shared" si="0"/>
        <v>17</v>
      </c>
      <c r="H13" s="11">
        <f t="shared" si="0"/>
        <v>18</v>
      </c>
      <c r="I13" s="11">
        <f t="shared" si="0"/>
        <v>7</v>
      </c>
      <c r="J13" s="11">
        <f t="shared" si="0"/>
        <v>26</v>
      </c>
      <c r="K13" s="11">
        <f t="shared" si="0"/>
        <v>9</v>
      </c>
    </row>
    <row r="14" spans="1:12" ht="26.4" x14ac:dyDescent="0.3">
      <c r="A14" s="11" t="s">
        <v>34</v>
      </c>
      <c r="B14" s="11">
        <f t="shared" ref="B14:L14" si="1">IF(B4&lt;1,100000000000000,B4)</f>
        <v>14</v>
      </c>
      <c r="C14" s="11">
        <f t="shared" ref="C14:J14" si="2">IF(C4&lt;1,9999,C4)</f>
        <v>18</v>
      </c>
      <c r="D14" s="11">
        <f t="shared" si="2"/>
        <v>17</v>
      </c>
      <c r="E14" s="11">
        <f t="shared" si="2"/>
        <v>19</v>
      </c>
      <c r="F14" s="11">
        <f t="shared" si="2"/>
        <v>12</v>
      </c>
      <c r="G14" s="11">
        <f t="shared" si="2"/>
        <v>6</v>
      </c>
      <c r="H14" s="11">
        <f t="shared" si="2"/>
        <v>9999</v>
      </c>
      <c r="I14" s="11">
        <f t="shared" si="2"/>
        <v>15</v>
      </c>
      <c r="J14" s="11">
        <f t="shared" si="2"/>
        <v>24</v>
      </c>
      <c r="K14" s="11">
        <f t="shared" si="1"/>
        <v>13</v>
      </c>
    </row>
    <row r="15" spans="1:12" x14ac:dyDescent="0.3">
      <c r="A15" s="11" t="s">
        <v>35</v>
      </c>
      <c r="B15" s="11">
        <f t="shared" ref="B15:L15" si="3">IF(B5&lt;1,100000000000000,B5)</f>
        <v>9</v>
      </c>
      <c r="C15" s="11">
        <f t="shared" ref="C15:J15" si="4">IF(C5&lt;1,9999,C5)</f>
        <v>15</v>
      </c>
      <c r="D15" s="11">
        <f t="shared" si="4"/>
        <v>18</v>
      </c>
      <c r="E15" s="11">
        <f t="shared" si="4"/>
        <v>16</v>
      </c>
      <c r="F15" s="11">
        <f t="shared" si="4"/>
        <v>16</v>
      </c>
      <c r="G15" s="11">
        <f t="shared" si="4"/>
        <v>15</v>
      </c>
      <c r="H15" s="11">
        <f t="shared" si="4"/>
        <v>11</v>
      </c>
      <c r="I15" s="11">
        <f t="shared" si="4"/>
        <v>13</v>
      </c>
      <c r="J15" s="11">
        <f t="shared" si="4"/>
        <v>21</v>
      </c>
      <c r="K15" s="11">
        <f t="shared" si="3"/>
        <v>19</v>
      </c>
    </row>
    <row r="16" spans="1:12" ht="26.4" x14ac:dyDescent="0.3">
      <c r="A16" s="11" t="s">
        <v>36</v>
      </c>
      <c r="B16" s="11">
        <f t="shared" ref="B16:L16" si="5">IF(B6&lt;1,100000000000000,B6)</f>
        <v>11</v>
      </c>
      <c r="C16" s="11">
        <f>IF(C6&lt;1,9999,C6)</f>
        <v>9999</v>
      </c>
      <c r="D16" s="11">
        <f t="shared" ref="D16:J16" si="6">IF(D6&lt;1,9999,D6)</f>
        <v>14</v>
      </c>
      <c r="E16" s="11">
        <f t="shared" si="6"/>
        <v>7</v>
      </c>
      <c r="F16" s="11">
        <f t="shared" si="6"/>
        <v>23</v>
      </c>
      <c r="G16" s="11">
        <f t="shared" si="6"/>
        <v>9</v>
      </c>
      <c r="H16" s="11">
        <f t="shared" si="6"/>
        <v>6</v>
      </c>
      <c r="I16" s="11">
        <f t="shared" si="6"/>
        <v>18</v>
      </c>
      <c r="J16" s="11">
        <f t="shared" si="6"/>
        <v>9999</v>
      </c>
      <c r="K16" s="11">
        <f t="shared" si="5"/>
        <v>7</v>
      </c>
    </row>
    <row r="17" spans="1:16" x14ac:dyDescent="0.3">
      <c r="A17" s="11" t="s">
        <v>37</v>
      </c>
      <c r="B17" s="11">
        <f t="shared" ref="B17:L17" si="7">IF(B7&lt;1,100000000000000,B7)</f>
        <v>4</v>
      </c>
      <c r="C17" s="11">
        <f t="shared" si="7"/>
        <v>9</v>
      </c>
      <c r="D17" s="11">
        <f t="shared" si="7"/>
        <v>2</v>
      </c>
      <c r="E17" s="11">
        <f t="shared" si="7"/>
        <v>12</v>
      </c>
      <c r="F17" s="11">
        <f t="shared" si="7"/>
        <v>7</v>
      </c>
      <c r="G17" s="11">
        <f t="shared" si="7"/>
        <v>6</v>
      </c>
      <c r="H17" s="11">
        <f t="shared" si="7"/>
        <v>9</v>
      </c>
      <c r="I17" s="11">
        <f t="shared" si="7"/>
        <v>3</v>
      </c>
      <c r="J17" s="11">
        <f t="shared" si="7"/>
        <v>18</v>
      </c>
      <c r="K17" s="11">
        <f t="shared" si="7"/>
        <v>5</v>
      </c>
    </row>
    <row r="20" spans="1:16" x14ac:dyDescent="0.3">
      <c r="A20" s="6" t="s">
        <v>30</v>
      </c>
      <c r="B20" s="7" t="s">
        <v>31</v>
      </c>
      <c r="C20" s="8"/>
      <c r="D20" s="8"/>
      <c r="E20" s="8"/>
      <c r="F20" s="8"/>
      <c r="G20" s="8"/>
      <c r="H20" s="8"/>
      <c r="I20" s="8"/>
      <c r="J20" s="8"/>
      <c r="K20" s="9"/>
    </row>
    <row r="21" spans="1:16" x14ac:dyDescent="0.3">
      <c r="A21" s="10"/>
      <c r="B21" s="11">
        <v>1</v>
      </c>
      <c r="C21" s="11">
        <v>2</v>
      </c>
      <c r="D21" s="11">
        <v>3</v>
      </c>
      <c r="E21" s="11">
        <v>4</v>
      </c>
      <c r="F21" s="11">
        <v>5</v>
      </c>
      <c r="G21" s="11">
        <v>6</v>
      </c>
      <c r="H21" s="11">
        <v>7</v>
      </c>
      <c r="I21" s="11">
        <v>8</v>
      </c>
      <c r="J21" s="11">
        <v>9</v>
      </c>
      <c r="K21" s="11">
        <v>10</v>
      </c>
    </row>
    <row r="22" spans="1:16" ht="26.4" x14ac:dyDescent="0.3">
      <c r="A22" s="11" t="s">
        <v>33</v>
      </c>
      <c r="B22" s="11">
        <v>4</v>
      </c>
      <c r="C22" s="11">
        <v>0</v>
      </c>
      <c r="D22" s="11">
        <v>2</v>
      </c>
      <c r="E22" s="11">
        <v>11</v>
      </c>
      <c r="F22" s="11">
        <v>7</v>
      </c>
      <c r="G22" s="11">
        <v>0</v>
      </c>
      <c r="H22" s="11">
        <v>0</v>
      </c>
      <c r="I22" s="11">
        <v>3</v>
      </c>
      <c r="J22" s="11">
        <v>0</v>
      </c>
      <c r="K22" s="11">
        <v>5</v>
      </c>
      <c r="N22">
        <f>SUM(B22:K22)</f>
        <v>32</v>
      </c>
      <c r="P22">
        <v>35</v>
      </c>
    </row>
    <row r="23" spans="1:16" ht="26.4" x14ac:dyDescent="0.3">
      <c r="A23" s="11" t="s">
        <v>34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6</v>
      </c>
      <c r="H23" s="11">
        <v>0</v>
      </c>
      <c r="I23" s="11">
        <v>0</v>
      </c>
      <c r="J23" s="11">
        <v>2</v>
      </c>
      <c r="K23" s="11">
        <v>0</v>
      </c>
      <c r="N23">
        <f t="shared" ref="N23:N25" si="8">SUM(B23:K23)</f>
        <v>8</v>
      </c>
      <c r="P23">
        <v>20</v>
      </c>
    </row>
    <row r="24" spans="1:16" x14ac:dyDescent="0.3">
      <c r="A24" s="11" t="s">
        <v>35</v>
      </c>
      <c r="B24" s="11">
        <v>0</v>
      </c>
      <c r="C24" s="11">
        <v>9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16</v>
      </c>
      <c r="K24" s="11">
        <v>0</v>
      </c>
      <c r="N24">
        <f t="shared" si="8"/>
        <v>25</v>
      </c>
      <c r="P24">
        <v>25</v>
      </c>
    </row>
    <row r="25" spans="1:16" ht="26.4" x14ac:dyDescent="0.3">
      <c r="A25" s="11" t="s">
        <v>36</v>
      </c>
      <c r="B25" s="11">
        <v>0</v>
      </c>
      <c r="C25" s="11">
        <v>0</v>
      </c>
      <c r="D25" s="11">
        <v>0</v>
      </c>
      <c r="E25" s="11">
        <v>1</v>
      </c>
      <c r="F25" s="11">
        <v>0</v>
      </c>
      <c r="G25" s="11">
        <v>0</v>
      </c>
      <c r="H25" s="11">
        <v>9</v>
      </c>
      <c r="I25" s="11">
        <v>0</v>
      </c>
      <c r="J25" s="11">
        <v>0</v>
      </c>
      <c r="K25" s="11">
        <v>0</v>
      </c>
      <c r="N25">
        <f t="shared" si="8"/>
        <v>10</v>
      </c>
      <c r="P25">
        <v>10</v>
      </c>
    </row>
    <row r="26" spans="1:16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8" spans="1:16" x14ac:dyDescent="0.3">
      <c r="B28">
        <f>SUM(B22:B25)</f>
        <v>4</v>
      </c>
      <c r="C28">
        <f t="shared" ref="B28:J28" si="9">SUM(C22:C25)</f>
        <v>9</v>
      </c>
      <c r="D28">
        <f t="shared" si="9"/>
        <v>2</v>
      </c>
      <c r="E28">
        <f t="shared" si="9"/>
        <v>12</v>
      </c>
      <c r="F28">
        <f t="shared" si="9"/>
        <v>7</v>
      </c>
      <c r="G28">
        <f t="shared" si="9"/>
        <v>6</v>
      </c>
      <c r="H28">
        <f t="shared" si="9"/>
        <v>9</v>
      </c>
      <c r="I28">
        <f t="shared" si="9"/>
        <v>3</v>
      </c>
      <c r="J28">
        <f t="shared" si="9"/>
        <v>18</v>
      </c>
      <c r="K28">
        <f>SUM(K22:K25)</f>
        <v>5</v>
      </c>
      <c r="N28">
        <f>SUMPRODUCT(B13:K17,B22:K26)</f>
        <v>950</v>
      </c>
    </row>
    <row r="30" spans="1:16" x14ac:dyDescent="0.3">
      <c r="B30" s="11">
        <v>4</v>
      </c>
      <c r="C30" s="11">
        <v>9</v>
      </c>
      <c r="D30" s="11">
        <v>2</v>
      </c>
      <c r="E30" s="11">
        <v>12</v>
      </c>
      <c r="F30" s="11">
        <v>7</v>
      </c>
      <c r="G30" s="11">
        <v>6</v>
      </c>
      <c r="H30" s="11">
        <v>9</v>
      </c>
      <c r="I30" s="11">
        <v>3</v>
      </c>
      <c r="J30" s="11">
        <v>18</v>
      </c>
      <c r="K30" s="11">
        <v>5</v>
      </c>
    </row>
  </sheetData>
  <mergeCells count="7">
    <mergeCell ref="A20:A21"/>
    <mergeCell ref="B20:K20"/>
    <mergeCell ref="A1:A2"/>
    <mergeCell ref="B1:K1"/>
    <mergeCell ref="L1:L2"/>
    <mergeCell ref="A11:A12"/>
    <mergeCell ref="B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</dc:creator>
  <cp:lastModifiedBy>DANIL d</cp:lastModifiedBy>
  <dcterms:created xsi:type="dcterms:W3CDTF">2015-06-05T18:19:34Z</dcterms:created>
  <dcterms:modified xsi:type="dcterms:W3CDTF">2026-09-16T18:58:51Z</dcterms:modified>
</cp:coreProperties>
</file>